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drawings/drawing2.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heckCompatibility="1"/>
  <mc:AlternateContent xmlns:mc="http://schemas.openxmlformats.org/markup-compatibility/2006">
    <mc:Choice Requires="x15">
      <x15ac:absPath xmlns:x15ac="http://schemas.microsoft.com/office/spreadsheetml/2010/11/ac" url="C:\Users\edgar.rojas\Documents\1408\formatos PMO\planes de trabajo\Formatos\"/>
    </mc:Choice>
  </mc:AlternateContent>
  <xr:revisionPtr revIDLastSave="0" documentId="13_ncr:1_{F9A34525-726C-473C-AAFC-4B317EF34650}" xr6:coauthVersionLast="47" xr6:coauthVersionMax="47" xr10:uidLastSave="{00000000-0000-0000-0000-000000000000}"/>
  <bookViews>
    <workbookView xWindow="-108" yWindow="-108" windowWidth="41496" windowHeight="16776" tabRatio="430" activeTab="2" xr2:uid="{00000000-000D-0000-FFFF-FFFF00000000}"/>
  </bookViews>
  <sheets>
    <sheet name="Control de Casos Prueba A.Nivel" sheetId="1" r:id="rId1"/>
    <sheet name="Ejemplo" sheetId="2" state="hidden" r:id="rId2"/>
    <sheet name="Matriz de Pruebas" sheetId="5" r:id="rId3"/>
  </sheets>
  <definedNames>
    <definedName name="_xlnm._FilterDatabase" localSheetId="2" hidden="1">'Matriz de Pruebas'!$A$9:$I$9</definedName>
    <definedName name="Excel_BuiltIn__FilterDatabase" localSheetId="1">Ejemplo!#REF!</definedName>
    <definedName name="Excel_BuiltIn__FilterDatabase" localSheetId="2">'Matriz de Pruebas'!#REF!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 l="1"/>
  <c r="C4" i="1"/>
  <c r="C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3" authorId="0" shapeId="0" xr:uid="{00000000-0006-0000-0000-000001000000}">
      <text>
        <r>
          <rPr>
            <b/>
            <sz val="8"/>
            <color indexed="8"/>
            <rFont val="Tahoma"/>
            <family val="2"/>
          </rPr>
          <t xml:space="preserve">Héctor Santa María:
</t>
        </r>
        <r>
          <rPr>
            <sz val="8"/>
            <color indexed="8"/>
            <rFont val="Tahoma"/>
            <family val="2"/>
          </rPr>
          <t xml:space="preserve">La tabla de Status Total  se irá modificando de acuerdo al número de iteraciones por validar. 
</t>
        </r>
        <r>
          <rPr>
            <b/>
            <sz val="8"/>
            <color indexed="8"/>
            <rFont val="Tahoma"/>
            <family val="2"/>
          </rPr>
          <t>Nota: La Tabla es de solo consulta</t>
        </r>
        <r>
          <rPr>
            <sz val="8"/>
            <color indexed="8"/>
            <rFont val="Tahoma"/>
            <family val="2"/>
          </rPr>
          <t>.</t>
        </r>
      </text>
    </comment>
    <comment ref="B8" authorId="0" shapeId="0" xr:uid="{00000000-0006-0000-0000-000002000000}">
      <text>
        <r>
          <rPr>
            <b/>
            <sz val="8"/>
            <color indexed="8"/>
            <rFont val="Tahoma"/>
            <family val="2"/>
          </rPr>
          <t>Alimentar manualmente este número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100-000001000000}">
      <text>
        <r>
          <rPr>
            <u/>
            <sz val="8"/>
            <color indexed="8"/>
            <rFont val="Tahoma"/>
            <family val="2"/>
          </rPr>
          <t>No:</t>
        </r>
        <r>
          <rPr>
            <sz val="8"/>
            <color indexed="8"/>
            <rFont val="Tahoma"/>
            <family val="2"/>
          </rPr>
          <t xml:space="preserve"> Número consecutivo que debe reiniciar con cada Caso de uso</t>
        </r>
      </text>
    </comment>
    <comment ref="C7" authorId="0" shapeId="0" xr:uid="{00000000-0006-0000-0100-000002000000}">
      <text>
        <r>
          <rPr>
            <u/>
            <sz val="8"/>
            <color indexed="8"/>
            <rFont val="Tahoma"/>
            <family val="2"/>
          </rPr>
          <t>Escenario:</t>
        </r>
        <r>
          <rPr>
            <sz val="8"/>
            <color indexed="8"/>
            <rFont val="Tahoma"/>
            <family val="2"/>
          </rPr>
          <t xml:space="preserve"> Se indica si el caso de prueba 
es exitoso o no exitoso.</t>
        </r>
      </text>
    </comment>
    <comment ref="D7" authorId="0" shapeId="0" xr:uid="{00000000-0006-0000-0100-000003000000}">
      <text>
        <r>
          <rPr>
            <u/>
            <sz val="8"/>
            <color indexed="8"/>
            <rFont val="Tahoma"/>
            <family val="2"/>
          </rPr>
          <t>Descripción:</t>
        </r>
        <r>
          <rPr>
            <sz val="8"/>
            <color indexed="8"/>
            <rFont val="Tahoma"/>
            <family val="2"/>
          </rPr>
          <t xml:space="preserve"> Breve explicación del escenario a aplicar</t>
        </r>
      </text>
    </comment>
    <comment ref="E7" authorId="0" shapeId="0" xr:uid="{00000000-0006-0000-0100-000004000000}">
      <text>
        <r>
          <rPr>
            <u/>
            <sz val="8"/>
            <color indexed="8"/>
            <rFont val="Tahoma"/>
            <family val="2"/>
          </rPr>
          <t>Resultado esperado:</t>
        </r>
        <r>
          <rPr>
            <sz val="8"/>
            <color indexed="8"/>
            <rFont val="Tahoma"/>
            <family val="2"/>
          </rPr>
          <t xml:space="preserve"> Es la acción, estatus, condición o resultado planeado que el sistema debe arrojar después de ser ejecutado el Caso de uso</t>
        </r>
      </text>
    </comment>
    <comment ref="F7" authorId="0" shapeId="0" xr:uid="{00000000-0006-0000-0100-000005000000}">
      <text>
        <r>
          <rPr>
            <u/>
            <sz val="8"/>
            <color indexed="8"/>
            <rFont val="Tahoma"/>
            <family val="2"/>
          </rPr>
          <t>Precondición:</t>
        </r>
        <r>
          <rPr>
            <sz val="8"/>
            <color indexed="8"/>
            <rFont val="Tahoma"/>
            <family val="2"/>
          </rPr>
          <t xml:space="preserve"> Se indican las condiciones 
en las que debe estar el sistema antes 
de ejecutar el caso de prueba.</t>
        </r>
      </text>
    </comment>
    <comment ref="G7" authorId="0" shapeId="0" xr:uid="{00000000-0006-0000-0100-000006000000}">
      <text>
        <r>
          <rPr>
            <u/>
            <sz val="8"/>
            <color indexed="8"/>
            <rFont val="Tahoma"/>
            <family val="2"/>
          </rPr>
          <t>Postcondición:</t>
        </r>
        <r>
          <rPr>
            <sz val="8"/>
            <color indexed="8"/>
            <rFont val="Tahoma"/>
            <family val="2"/>
          </rPr>
          <t xml:space="preserve"> Se indican las condiciones en 
las que debe estar el sistema después de 
ejecutar el caso de prueba.</t>
        </r>
      </text>
    </comment>
    <comment ref="I7" authorId="0" shapeId="0" xr:uid="{00000000-0006-0000-0100-000007000000}">
      <text>
        <r>
          <rPr>
            <u/>
            <sz val="8"/>
            <color indexed="8"/>
            <rFont val="Tahoma"/>
            <family val="2"/>
          </rPr>
          <t>Estatus:</t>
        </r>
        <r>
          <rPr>
            <sz val="8"/>
            <color indexed="8"/>
            <rFont val="Tahoma"/>
            <family val="2"/>
          </rPr>
          <t xml:space="preserve"> Aquí se establece el estatus de la prueba, Probado o Pendiente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200-000001000000}">
      <text>
        <r>
          <rPr>
            <u/>
            <sz val="8"/>
            <color indexed="8"/>
            <rFont val="Tahoma"/>
            <family val="2"/>
          </rPr>
          <t>No:</t>
        </r>
        <r>
          <rPr>
            <sz val="8"/>
            <color indexed="8"/>
            <rFont val="Tahoma"/>
            <family val="2"/>
          </rPr>
          <t xml:space="preserve"> Número consecutivo que debe reiniciar con cada Caso de uso</t>
        </r>
      </text>
    </comment>
    <comment ref="C7" authorId="0" shapeId="0" xr:uid="{00000000-0006-0000-0200-000002000000}">
      <text>
        <r>
          <rPr>
            <u/>
            <sz val="8"/>
            <color indexed="8"/>
            <rFont val="Tahoma"/>
            <family val="2"/>
          </rPr>
          <t>Escenario:</t>
        </r>
        <r>
          <rPr>
            <sz val="8"/>
            <color indexed="8"/>
            <rFont val="Tahoma"/>
            <family val="2"/>
          </rPr>
          <t xml:space="preserve"> Se indica si el caso de prueba 
es exitoso o no exitoso.</t>
        </r>
      </text>
    </comment>
    <comment ref="D7" authorId="0" shapeId="0" xr:uid="{00000000-0006-0000-0200-000003000000}">
      <text>
        <r>
          <rPr>
            <u/>
            <sz val="8"/>
            <color indexed="8"/>
            <rFont val="Tahoma"/>
            <family val="2"/>
          </rPr>
          <t>Descripción:</t>
        </r>
        <r>
          <rPr>
            <sz val="8"/>
            <color indexed="8"/>
            <rFont val="Tahoma"/>
            <family val="2"/>
          </rPr>
          <t xml:space="preserve"> Breve explicación del escenario a aplicar</t>
        </r>
      </text>
    </comment>
    <comment ref="E7" authorId="0" shapeId="0" xr:uid="{00000000-0006-0000-0200-000004000000}">
      <text>
        <r>
          <rPr>
            <u/>
            <sz val="8"/>
            <color indexed="8"/>
            <rFont val="Tahoma"/>
            <family val="2"/>
          </rPr>
          <t>Resultado esperado:</t>
        </r>
        <r>
          <rPr>
            <sz val="8"/>
            <color indexed="8"/>
            <rFont val="Tahoma"/>
            <family val="2"/>
          </rPr>
          <t xml:space="preserve"> Es la acción, estatus, condición o resultado planeado que el sistema debe arrojar después de ser ejecutado el Caso de uso</t>
        </r>
      </text>
    </comment>
    <comment ref="F7" authorId="0" shapeId="0" xr:uid="{00000000-0006-0000-0200-000005000000}">
      <text>
        <r>
          <rPr>
            <u/>
            <sz val="8"/>
            <color indexed="8"/>
            <rFont val="Tahoma"/>
            <family val="2"/>
          </rPr>
          <t>Precondición:</t>
        </r>
        <r>
          <rPr>
            <sz val="8"/>
            <color indexed="8"/>
            <rFont val="Tahoma"/>
            <family val="2"/>
          </rPr>
          <t xml:space="preserve"> Se indican las condiciones 
en las que debe estar el sistema antes 
de ejecutar el caso de prueba.</t>
        </r>
      </text>
    </comment>
    <comment ref="G7" authorId="0" shapeId="0" xr:uid="{00000000-0006-0000-0200-000006000000}">
      <text>
        <r>
          <rPr>
            <u/>
            <sz val="8"/>
            <color indexed="8"/>
            <rFont val="Tahoma"/>
            <family val="2"/>
          </rPr>
          <t>Postcondición:</t>
        </r>
        <r>
          <rPr>
            <sz val="8"/>
            <color indexed="8"/>
            <rFont val="Tahoma"/>
            <family val="2"/>
          </rPr>
          <t xml:space="preserve"> Se indican las condiciones en 
las que debe estar el sistema después de 
ejecutar el caso de prueba.</t>
        </r>
      </text>
    </comment>
    <comment ref="I7" authorId="0" shapeId="0" xr:uid="{00000000-0006-0000-0200-000007000000}">
      <text>
        <r>
          <rPr>
            <u/>
            <sz val="8"/>
            <color indexed="8"/>
            <rFont val="Tahoma"/>
            <family val="2"/>
          </rPr>
          <t>Estatus:</t>
        </r>
        <r>
          <rPr>
            <sz val="8"/>
            <color indexed="8"/>
            <rFont val="Tahoma"/>
            <family val="2"/>
          </rPr>
          <t xml:space="preserve"> Aquí se establece el estatus de la prueba, Probado o Pendiente
</t>
        </r>
      </text>
    </comment>
  </commentList>
</comments>
</file>

<file path=xl/sharedStrings.xml><?xml version="1.0" encoding="utf-8"?>
<sst xmlns="http://schemas.openxmlformats.org/spreadsheetml/2006/main" count="97" uniqueCount="65">
  <si>
    <t>Control de Casos de Prueba de Alto Nivel</t>
  </si>
  <si>
    <t>Status Total</t>
  </si>
  <si>
    <t xml:space="preserve">Fecha de Inicio:  </t>
  </si>
  <si>
    <t>Sponsor:</t>
  </si>
  <si>
    <t>Tester:</t>
  </si>
  <si>
    <t>Programador:</t>
  </si>
  <si>
    <t>Total de Casos de uso:</t>
  </si>
  <si>
    <t>Avance general</t>
  </si>
  <si>
    <t>Observaciones Generales</t>
  </si>
  <si>
    <t>Casos de Prueba - Pruebas integrales SAF</t>
  </si>
  <si>
    <t xml:space="preserve">Fecha de Inicio: </t>
  </si>
  <si>
    <t xml:space="preserve">Sponsor: </t>
  </si>
  <si>
    <t xml:space="preserve">Tester: </t>
  </si>
  <si>
    <t>No</t>
  </si>
  <si>
    <t>Funcionalidad / Requerimiento / Ticket</t>
  </si>
  <si>
    <t>Escenario</t>
  </si>
  <si>
    <t xml:space="preserve">Descripción </t>
  </si>
  <si>
    <t>Resultado esperado</t>
  </si>
  <si>
    <t>Precondición</t>
  </si>
  <si>
    <t>Postcondición</t>
  </si>
  <si>
    <t>Comentarios</t>
  </si>
  <si>
    <t>Estatus</t>
  </si>
  <si>
    <t>1.- Prorrogas</t>
  </si>
  <si>
    <t>Prórrogas en líneas de crédito</t>
  </si>
  <si>
    <t>Éxito</t>
  </si>
  <si>
    <t>Crédito vigente que no ha llegado a vencimiento</t>
  </si>
  <si>
    <t>El sistema debe permitir aplicar la prorroga sin inconvenientes</t>
  </si>
  <si>
    <t>Pendiente</t>
  </si>
  <si>
    <t>Crédito vencido nos debe dejar aplicar la prorroga</t>
  </si>
  <si>
    <t>Prorroga con fecha valor ¿que pasa con los días entre prorroga?</t>
  </si>
  <si>
    <t xml:space="preserve">Validar que el sistema permita la prorroga y verificar el efecto que genera al aplicarlo con fecha valor. </t>
  </si>
  <si>
    <t>Aumentar el spread al aplicar la prorroga</t>
  </si>
  <si>
    <t xml:space="preserve">A pesar de no ser una situación usual, se pretende validar que el sistema lo permita. </t>
  </si>
  <si>
    <t>Reestructura puente</t>
  </si>
  <si>
    <t xml:space="preserve">Reestructura de un crédito vigente (ampliar plazo, cambiar tasa). Crédito puente. </t>
  </si>
  <si>
    <t xml:space="preserve">Esperamos que el sistema liquide el crédito vigente y se genere el nuevo crédito. Que el sistema arrastre todas las condiciones técnicas, es decir, que el sistema genere el nuevo crédito con las mismas condiciones que ya tenía. </t>
  </si>
  <si>
    <t>Reestructura de un crédito vencido (capitalicemos intereses moratorios) (Que el sistema permita capitalizar de manera parcial cada rubro) Crédito puente</t>
  </si>
  <si>
    <t>Esperamos que el sistema liquide el crédito y se genere el nuevo crédito. Que el sistema arrastre todas las condiciones técnicas, es decir, que el sistema genere el nuevo crédito con las mismas condiciones que ya tenía.</t>
  </si>
  <si>
    <t>Al reestructurar el crédito agregarle una amortización acelerada. Crédito puente</t>
  </si>
  <si>
    <t>Validar que el sistema permita agregar una amortización acelerada al reestructurar el crédito.</t>
  </si>
  <si>
    <t xml:space="preserve">Crédito simple: Reestructura de crédito vigente (ampliar plazo, cambiar tasa) </t>
  </si>
  <si>
    <t xml:space="preserve">Esperamos que el sistema liquide el crédito vigente y se genere el nuevo crédito. </t>
  </si>
  <si>
    <t>Crédito simple: Reestructura de crédito vencido (ampliar plazo, cambiar tasa) Donde paguen los accesorios/Donde se capitalicen.</t>
  </si>
  <si>
    <t xml:space="preserve">Esperamos que el sistema liquide el crédito, aplicando un escenario donde se paguen los accesorios y se reestructure, y donde estos accesorios se capitalicen, para validar el efecto que genera el sistema. </t>
  </si>
  <si>
    <t>Detallar el resultado esperado como en los ejemplos, no especular en que resultado nos estaria dando, sino indicar cual es el requerido</t>
  </si>
  <si>
    <t>Detallar cual es el escenario de prueba y preferentemente un escenario por posible caso, por ejemplo:</t>
  </si>
  <si>
    <t>Se debe detallar el resultado concreto esperado, de manera que la calificación del resultado sea un si o no, por ejemplo:</t>
  </si>
  <si>
    <t>"Aplicar proceso de prórroga a un crédito hijo vigente que pertenece a una línea de crédito, incrementando en N días su plazo"</t>
  </si>
  <si>
    <t>El sistema debe generar las N cuotas necesarias para cumplir la extensión del plazo solicitado, así como el cálculo de interés sobre la tasa correspondiente al plazo en la quese está generando</t>
  </si>
  <si>
    <t>"Aplicar proceso de prórroga a un crédito hijo vigente que pertenece a una línea de crédito, incrementando en # su spread"</t>
  </si>
  <si>
    <t>El sistema debe generar las N cuotas necesarias para cumplir la extensión del plazo solicitado, así como el cálculo de interés sobre la tasa correspondiente al plazo en la quese está generando tomando en cuenta el nuevo spread indicado</t>
  </si>
  <si>
    <t>A que se refiere con capitalizar de manera parcial?, sería aplicando un pago a cada rubro previo a reestructurar?, porque al hacer una reestructura la capitalización toma todo lo que se debe, no permite tomar parciales de adeudo</t>
  </si>
  <si>
    <t>"Aplicar proceso de prórroga a un crédito hijo vigente que pertenece a una línea de crédito, incrementando su plazo superando la fecha de vencimiento de la línea"</t>
  </si>
  <si>
    <t>No debe permitir la prórroga, ya que el vencimiento está topado por la vigencia de la línea a la que pertenece</t>
  </si>
  <si>
    <t>Sugerencia de pruebas:</t>
  </si>
  <si>
    <t>"Aplicar proceso de prórroga a un crédito hijo vencido que pertenece a una línea de crédito, incrementando en N días su plazo"</t>
  </si>
  <si>
    <t>El sistema debe generar las N cuotas necesarias para cumplir la extensión del plazo solicitado, así como el cálculo de interés sobre la tasa correspondiente al plazo en la que se está generando y retomando su plan de pagos desde la fecha de vencimiento</t>
  </si>
  <si>
    <t>Aplicar una reestructura a un crédito puente vencido capitalizando su adeudo e incrementando su plazo y manteniendo su tasa</t>
  </si>
  <si>
    <t>El crédito actual se debe liquidar y generar uno nuevo con las caracteristicas indicadas, al ser reestructura de un crédito vencido, debe nacer vencido</t>
  </si>
  <si>
    <t>Aplicar una reestructura a un crédito puente vencido capitalizando su adeudo e incrementando su plazo, manteniendo su tasa y validar que nace vencido y cumple con su pago sostenido de 3 cuotas</t>
  </si>
  <si>
    <t>El crédito actual se debe liquidar y generar uno nuevo con las caracteristicas indicadas, al ser reestructura de un crédito vencido, debe nacer vencido y al aplicar las 3 cuotas en tiempo salir de vencido a vigente</t>
  </si>
  <si>
    <t>Aplicar una reestructura a un crédito puente vigente sin adeudo, ampliando su plazo en N días</t>
  </si>
  <si>
    <t>El crédito actual se debe liquidar y generar uno nuevo con las caracteristicas indicadas, al ser reestructura de un crédito vigente debe nacer vigente y al ser un crédito puente debe heredar la información de proyecto</t>
  </si>
  <si>
    <t>Evidencias</t>
  </si>
  <si>
    <t>Casos de Prueba - nombre de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</si>
</sst>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0"/>
      <name val="Arial"/>
      <family val="2"/>
    </font>
    <font>
      <sz val="11"/>
      <color indexed="8"/>
      <name val="Calibri"/>
      <family val="2"/>
    </font>
    <font>
      <sz val="11"/>
      <color indexed="9"/>
      <name val="Calibri"/>
      <family val="2"/>
    </font>
    <font>
      <sz val="11"/>
      <color indexed="17"/>
      <name val="Calibri"/>
      <family val="2"/>
    </font>
    <font>
      <b/>
      <sz val="11"/>
      <color indexed="9"/>
      <name val="Calibri"/>
      <family val="2"/>
    </font>
    <font>
      <sz val="11"/>
      <color indexed="52"/>
      <name val="Calibri"/>
      <family val="2"/>
    </font>
    <font>
      <b/>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1"/>
      <color indexed="8"/>
      <name val="Calibri"/>
      <family val="2"/>
    </font>
    <font>
      <b/>
      <sz val="18"/>
      <color indexed="56"/>
      <name val="Cambria"/>
      <family val="2"/>
    </font>
    <font>
      <b/>
      <sz val="15"/>
      <color indexed="56"/>
      <name val="Calibri"/>
      <family val="2"/>
    </font>
    <font>
      <b/>
      <sz val="13"/>
      <color indexed="56"/>
      <name val="Calibri"/>
      <family val="2"/>
    </font>
    <font>
      <sz val="10"/>
      <name val="Eras Bk BT"/>
      <family val="2"/>
    </font>
    <font>
      <sz val="10"/>
      <name val="Tahoma"/>
      <family val="2"/>
    </font>
    <font>
      <b/>
      <sz val="18"/>
      <name val="Eras Bk BT"/>
      <family val="2"/>
    </font>
    <font>
      <b/>
      <sz val="26"/>
      <name val="EngraversGothic BT"/>
      <family val="2"/>
    </font>
    <font>
      <b/>
      <sz val="8"/>
      <color indexed="8"/>
      <name val="Tahoma"/>
      <family val="2"/>
    </font>
    <font>
      <sz val="8"/>
      <color indexed="8"/>
      <name val="Tahoma"/>
      <family val="2"/>
    </font>
    <font>
      <sz val="8"/>
      <name val="Tahoma"/>
      <family val="2"/>
    </font>
    <font>
      <b/>
      <sz val="8"/>
      <name val="Tahoma"/>
      <family val="2"/>
    </font>
    <font>
      <sz val="6"/>
      <name val="Arial"/>
      <family val="2"/>
    </font>
    <font>
      <b/>
      <sz val="10"/>
      <color indexed="9"/>
      <name val="Tahoma"/>
      <family val="2"/>
    </font>
    <font>
      <b/>
      <sz val="10"/>
      <name val="Tahoma"/>
      <family val="2"/>
    </font>
    <font>
      <b/>
      <sz val="17"/>
      <color indexed="18"/>
      <name val="Tahoma"/>
      <family val="2"/>
    </font>
    <font>
      <b/>
      <sz val="16"/>
      <name val="Tahoma"/>
      <family val="2"/>
    </font>
    <font>
      <b/>
      <sz val="6"/>
      <name val="Tahoma"/>
      <family val="2"/>
    </font>
    <font>
      <sz val="6"/>
      <name val="Tahoma"/>
      <family val="2"/>
    </font>
    <font>
      <u/>
      <sz val="8"/>
      <color indexed="8"/>
      <name val="Tahoma"/>
      <family val="2"/>
    </font>
    <font>
      <u/>
      <sz val="10"/>
      <name val="Tahoma"/>
      <family val="2"/>
    </font>
    <font>
      <sz val="10"/>
      <name val="Arial"/>
      <family val="2"/>
    </font>
    <font>
      <b/>
      <sz val="10"/>
      <name val="Arial"/>
      <family val="2"/>
    </font>
    <font>
      <b/>
      <sz val="17"/>
      <color rgb="FF00B050"/>
      <name val="Tahoma"/>
      <family val="2"/>
    </font>
  </fonts>
  <fills count="26">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22"/>
        <bgColor indexed="31"/>
      </patternFill>
    </fill>
    <fill>
      <patternFill patternType="solid">
        <fgColor indexed="55"/>
        <bgColor indexed="23"/>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43"/>
        <bgColor indexed="26"/>
      </patternFill>
    </fill>
    <fill>
      <patternFill patternType="solid">
        <fgColor indexed="26"/>
        <bgColor indexed="9"/>
      </patternFill>
    </fill>
    <fill>
      <patternFill patternType="solid">
        <fgColor indexed="9"/>
        <bgColor indexed="26"/>
      </patternFill>
    </fill>
    <fill>
      <patternFill patternType="solid">
        <fgColor rgb="FF00B050"/>
        <bgColor indexed="39"/>
      </patternFill>
    </fill>
  </fills>
  <borders count="3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diagonal/>
    </border>
    <border>
      <left/>
      <right style="medium">
        <color indexed="8"/>
      </right>
      <top/>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right/>
      <top/>
      <bottom style="medium">
        <color indexed="8"/>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style="medium">
        <color indexed="8"/>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8"/>
      </left>
      <right/>
      <top style="medium">
        <color indexed="8"/>
      </top>
      <bottom style="medium">
        <color indexed="8"/>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3">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4" borderId="0" applyNumberFormat="0" applyBorder="0" applyAlignment="0" applyProtection="0"/>
    <xf numFmtId="0" fontId="6" fillId="16" borderId="1" applyNumberFormat="0" applyAlignment="0" applyProtection="0"/>
    <xf numFmtId="0" fontId="4" fillId="17" borderId="2" applyNumberFormat="0" applyAlignment="0" applyProtection="0"/>
    <xf numFmtId="0" fontId="5" fillId="0" borderId="3" applyNumberFormat="0" applyFill="0" applyAlignment="0" applyProtection="0"/>
    <xf numFmtId="0" fontId="7" fillId="0" borderId="0" applyNumberFormat="0" applyFill="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21" borderId="0" applyNumberFormat="0" applyBorder="0" applyAlignment="0" applyProtection="0"/>
    <xf numFmtId="0" fontId="8" fillId="7" borderId="1" applyNumberFormat="0" applyAlignment="0" applyProtection="0"/>
    <xf numFmtId="0" fontId="9" fillId="3" borderId="0" applyNumberFormat="0" applyBorder="0" applyAlignment="0" applyProtection="0"/>
    <xf numFmtId="0" fontId="10" fillId="22" borderId="0" applyNumberFormat="0" applyBorder="0" applyAlignment="0" applyProtection="0"/>
    <xf numFmtId="0" fontId="35" fillId="0" borderId="0"/>
    <xf numFmtId="0" fontId="35" fillId="23" borderId="5" applyNumberFormat="0" applyAlignment="0" applyProtection="0"/>
    <xf numFmtId="0" fontId="11" fillId="16" borderId="6" applyNumberFormat="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5" fillId="0" borderId="0" applyNumberFormat="0" applyFill="0" applyBorder="0" applyAlignment="0" applyProtection="0"/>
    <xf numFmtId="0" fontId="16" fillId="0" borderId="4" applyNumberFormat="0" applyFill="0" applyAlignment="0" applyProtection="0"/>
    <xf numFmtId="0" fontId="17" fillId="0" borderId="7" applyNumberFormat="0" applyFill="0" applyAlignment="0" applyProtection="0"/>
    <xf numFmtId="0" fontId="7" fillId="0" borderId="8" applyNumberFormat="0" applyFill="0" applyAlignment="0" applyProtection="0"/>
    <xf numFmtId="0" fontId="14" fillId="0" borderId="9" applyNumberFormat="0" applyFill="0" applyAlignment="0" applyProtection="0"/>
  </cellStyleXfs>
  <cellXfs count="101">
    <xf numFmtId="0" fontId="0" fillId="0" borderId="0" xfId="0"/>
    <xf numFmtId="0" fontId="19" fillId="24" borderId="0" xfId="0" applyFont="1" applyFill="1" applyAlignment="1">
      <alignment horizontal="right"/>
    </xf>
    <xf numFmtId="0" fontId="25" fillId="24" borderId="14" xfId="0" applyFont="1" applyFill="1" applyBorder="1" applyAlignment="1">
      <alignment horizontal="right"/>
    </xf>
    <xf numFmtId="0" fontId="19" fillId="24" borderId="0" xfId="0" applyFont="1" applyFill="1"/>
    <xf numFmtId="0" fontId="19" fillId="0" borderId="0" xfId="0" applyFont="1"/>
    <xf numFmtId="0" fontId="24" fillId="24" borderId="10" xfId="0" applyFont="1" applyFill="1" applyBorder="1" applyAlignment="1">
      <alignment vertical="top"/>
    </xf>
    <xf numFmtId="0" fontId="24" fillId="24" borderId="11" xfId="0" applyFont="1" applyFill="1" applyBorder="1" applyAlignment="1">
      <alignment vertical="top"/>
    </xf>
    <xf numFmtId="0" fontId="19" fillId="24" borderId="11" xfId="0" applyFont="1" applyFill="1" applyBorder="1"/>
    <xf numFmtId="0" fontId="19" fillId="24" borderId="12" xfId="0" applyFont="1" applyFill="1" applyBorder="1"/>
    <xf numFmtId="0" fontId="29" fillId="24" borderId="0" xfId="0" applyFont="1" applyFill="1" applyAlignment="1">
      <alignment vertical="top"/>
    </xf>
    <xf numFmtId="0" fontId="24" fillId="24" borderId="13" xfId="0" applyFont="1" applyFill="1" applyBorder="1" applyAlignment="1">
      <alignment horizontal="left"/>
    </xf>
    <xf numFmtId="0" fontId="24" fillId="24" borderId="0" xfId="0" applyFont="1" applyFill="1" applyAlignment="1">
      <alignment horizontal="left"/>
    </xf>
    <xf numFmtId="0" fontId="25" fillId="24" borderId="14" xfId="0" applyFont="1" applyFill="1" applyBorder="1" applyAlignment="1">
      <alignment horizontal="right" vertical="top"/>
    </xf>
    <xf numFmtId="0" fontId="25" fillId="24" borderId="13" xfId="0" applyFont="1" applyFill="1" applyBorder="1" applyAlignment="1">
      <alignment vertical="center"/>
    </xf>
    <xf numFmtId="0" fontId="25" fillId="24" borderId="0" xfId="0" applyFont="1" applyFill="1" applyAlignment="1">
      <alignment vertical="center"/>
    </xf>
    <xf numFmtId="0" fontId="31" fillId="24" borderId="14" xfId="0" applyFont="1" applyFill="1" applyBorder="1" applyAlignment="1">
      <alignment horizontal="right"/>
    </xf>
    <xf numFmtId="0" fontId="32" fillId="24" borderId="14" xfId="0" applyFont="1" applyFill="1" applyBorder="1" applyAlignment="1">
      <alignment horizontal="right"/>
    </xf>
    <xf numFmtId="0" fontId="19" fillId="0" borderId="0" xfId="0" applyFont="1" applyAlignment="1">
      <alignment vertical="top"/>
    </xf>
    <xf numFmtId="0" fontId="19" fillId="0" borderId="0" xfId="0" applyFont="1" applyAlignment="1">
      <alignment horizontal="center"/>
    </xf>
    <xf numFmtId="0" fontId="37" fillId="24" borderId="13" xfId="0" applyFont="1" applyFill="1" applyBorder="1" applyAlignment="1">
      <alignment vertical="top"/>
    </xf>
    <xf numFmtId="0" fontId="19" fillId="24" borderId="11" xfId="0" applyFont="1" applyFill="1" applyBorder="1" applyAlignment="1">
      <alignment vertical="center" wrapText="1"/>
    </xf>
    <xf numFmtId="0" fontId="30" fillId="24" borderId="0" xfId="0" applyFont="1" applyFill="1" applyAlignment="1">
      <alignment vertical="center" wrapText="1"/>
    </xf>
    <xf numFmtId="0" fontId="19" fillId="24" borderId="0" xfId="0" applyFont="1" applyFill="1" applyAlignment="1">
      <alignment vertical="center" wrapText="1"/>
    </xf>
    <xf numFmtId="0" fontId="19" fillId="24" borderId="0" xfId="0" applyFont="1" applyFill="1" applyAlignment="1">
      <alignment horizontal="left" vertical="center" wrapText="1"/>
    </xf>
    <xf numFmtId="0" fontId="27" fillId="25" borderId="17" xfId="0" applyFont="1" applyFill="1" applyBorder="1" applyAlignment="1">
      <alignment horizontal="center" vertical="center" wrapText="1"/>
    </xf>
    <xf numFmtId="0" fontId="0" fillId="0" borderId="0" xfId="0" applyAlignment="1">
      <alignment vertical="center" wrapText="1"/>
    </xf>
    <xf numFmtId="0" fontId="19" fillId="0" borderId="0" xfId="0" applyFont="1" applyAlignment="1">
      <alignment vertical="center" wrapText="1"/>
    </xf>
    <xf numFmtId="0" fontId="34" fillId="0" borderId="20" xfId="0" applyFont="1" applyBorder="1" applyAlignment="1">
      <alignment horizontal="center" vertical="center"/>
    </xf>
    <xf numFmtId="0" fontId="19" fillId="0" borderId="20" xfId="0" applyFont="1" applyBorder="1" applyAlignment="1">
      <alignment horizontal="center" vertical="center" wrapText="1"/>
    </xf>
    <xf numFmtId="0" fontId="19" fillId="0" borderId="21" xfId="0" applyFont="1" applyBorder="1" applyAlignment="1">
      <alignment horizontal="center" vertical="center" wrapText="1"/>
    </xf>
    <xf numFmtId="0" fontId="0" fillId="0" borderId="20" xfId="33" applyFont="1" applyBorder="1" applyAlignment="1">
      <alignment vertical="center" wrapText="1"/>
    </xf>
    <xf numFmtId="0" fontId="0" fillId="0" borderId="22" xfId="0" applyBorder="1" applyAlignment="1">
      <alignment vertical="center" wrapText="1"/>
    </xf>
    <xf numFmtId="0" fontId="0" fillId="0" borderId="22" xfId="33" applyFont="1" applyBorder="1" applyAlignment="1">
      <alignment vertical="center" wrapText="1"/>
    </xf>
    <xf numFmtId="0" fontId="0" fillId="0" borderId="23" xfId="33" applyFont="1" applyBorder="1" applyAlignment="1">
      <alignment horizontal="left" vertical="center" wrapText="1"/>
    </xf>
    <xf numFmtId="49" fontId="0" fillId="0" borderId="15" xfId="33" applyNumberFormat="1" applyFont="1" applyBorder="1" applyAlignment="1">
      <alignment vertical="center" wrapText="1"/>
    </xf>
    <xf numFmtId="0" fontId="19" fillId="0" borderId="20" xfId="0" applyFont="1" applyBorder="1" applyAlignment="1">
      <alignment vertical="center" wrapText="1"/>
    </xf>
    <xf numFmtId="0" fontId="36" fillId="0" borderId="0" xfId="0" applyFont="1" applyAlignment="1">
      <alignment vertical="center" wrapText="1"/>
    </xf>
    <xf numFmtId="0" fontId="37" fillId="24" borderId="0" xfId="0" applyFont="1" applyFill="1" applyAlignment="1">
      <alignment vertical="top"/>
    </xf>
    <xf numFmtId="17" fontId="19" fillId="24" borderId="0" xfId="0" applyNumberFormat="1" applyFont="1" applyFill="1" applyAlignment="1">
      <alignment horizontal="left" vertical="center" wrapText="1"/>
    </xf>
    <xf numFmtId="17" fontId="19" fillId="24" borderId="0" xfId="0" applyNumberFormat="1" applyFont="1" applyFill="1" applyAlignment="1">
      <alignment horizontal="center" vertical="center"/>
    </xf>
    <xf numFmtId="0" fontId="19" fillId="24" borderId="0" xfId="0" applyFont="1" applyFill="1" applyAlignment="1">
      <alignment horizontal="center" vertical="center"/>
    </xf>
    <xf numFmtId="0" fontId="0" fillId="24" borderId="0" xfId="0" applyFill="1" applyAlignment="1">
      <alignment horizontal="center" vertical="center"/>
    </xf>
    <xf numFmtId="0" fontId="19" fillId="24" borderId="10" xfId="0" applyFont="1" applyFill="1" applyBorder="1" applyAlignment="1" applyProtection="1">
      <alignment horizontal="left" vertical="center"/>
      <protection locked="0"/>
    </xf>
    <xf numFmtId="0" fontId="0" fillId="24" borderId="11" xfId="0" applyFill="1" applyBorder="1" applyAlignment="1">
      <alignment vertical="center"/>
    </xf>
    <xf numFmtId="0" fontId="0" fillId="24" borderId="11" xfId="0" applyFill="1" applyBorder="1" applyAlignment="1">
      <alignment vertical="center" wrapText="1"/>
    </xf>
    <xf numFmtId="0" fontId="0" fillId="24" borderId="12" xfId="0" applyFill="1" applyBorder="1" applyAlignment="1">
      <alignment horizontal="center" vertical="center" wrapText="1"/>
    </xf>
    <xf numFmtId="0" fontId="0" fillId="0" borderId="0" xfId="0" applyAlignment="1">
      <alignment vertical="center"/>
    </xf>
    <xf numFmtId="0" fontId="37" fillId="24" borderId="13" xfId="0" applyFont="1" applyFill="1" applyBorder="1" applyAlignment="1">
      <alignment horizontal="left" vertical="center"/>
    </xf>
    <xf numFmtId="0" fontId="20" fillId="24" borderId="0" xfId="0" applyFont="1" applyFill="1" applyAlignment="1">
      <alignment vertical="center"/>
    </xf>
    <xf numFmtId="0" fontId="21" fillId="24" borderId="0" xfId="0" applyFont="1" applyFill="1" applyAlignment="1">
      <alignment vertical="center"/>
    </xf>
    <xf numFmtId="0" fontId="0" fillId="24" borderId="13" xfId="0" applyFill="1" applyBorder="1" applyAlignment="1">
      <alignment horizontal="left" vertical="center"/>
    </xf>
    <xf numFmtId="0" fontId="0" fillId="24" borderId="0" xfId="0" applyFill="1" applyAlignment="1">
      <alignment vertical="center"/>
    </xf>
    <xf numFmtId="0" fontId="0" fillId="24" borderId="14" xfId="0" applyFill="1" applyBorder="1" applyAlignment="1">
      <alignment horizontal="center" vertical="center"/>
    </xf>
    <xf numFmtId="0" fontId="19" fillId="24" borderId="13" xfId="0" applyFont="1" applyFill="1" applyBorder="1" applyAlignment="1" applyProtection="1">
      <alignment horizontal="left" vertical="center"/>
      <protection locked="0"/>
    </xf>
    <xf numFmtId="0" fontId="24" fillId="24" borderId="15" xfId="0" applyFont="1" applyFill="1" applyBorder="1" applyAlignment="1" applyProtection="1">
      <alignment horizontal="right" vertical="center"/>
      <protection hidden="1"/>
    </xf>
    <xf numFmtId="0" fontId="19" fillId="24" borderId="0" xfId="0" applyFont="1" applyFill="1" applyAlignment="1">
      <alignment horizontal="right" vertical="center"/>
    </xf>
    <xf numFmtId="0" fontId="25" fillId="24" borderId="14" xfId="0" applyFont="1" applyFill="1" applyBorder="1" applyAlignment="1">
      <alignment horizontal="right" vertical="center"/>
    </xf>
    <xf numFmtId="0" fontId="19" fillId="0" borderId="16" xfId="0" applyFont="1" applyBorder="1" applyAlignment="1" applyProtection="1">
      <alignment vertical="center"/>
      <protection hidden="1"/>
    </xf>
    <xf numFmtId="0" fontId="0" fillId="24" borderId="14" xfId="0" applyFill="1" applyBorder="1" applyAlignment="1" applyProtection="1">
      <alignment horizontal="left" vertical="center"/>
      <protection locked="0"/>
    </xf>
    <xf numFmtId="0" fontId="19" fillId="24" borderId="13" xfId="0" applyFont="1" applyFill="1" applyBorder="1" applyAlignment="1">
      <alignment horizontal="left" vertical="center"/>
    </xf>
    <xf numFmtId="9" fontId="24" fillId="24" borderId="15" xfId="0" applyNumberFormat="1" applyFont="1" applyFill="1" applyBorder="1" applyAlignment="1" applyProtection="1">
      <alignment horizontal="right" vertical="center"/>
      <protection hidden="1"/>
    </xf>
    <xf numFmtId="9" fontId="24" fillId="24" borderId="0" xfId="0" applyNumberFormat="1" applyFont="1" applyFill="1" applyAlignment="1" applyProtection="1">
      <alignment horizontal="right" vertical="center"/>
      <protection hidden="1"/>
    </xf>
    <xf numFmtId="0" fontId="26" fillId="24" borderId="14" xfId="0" applyFont="1" applyFill="1" applyBorder="1" applyAlignment="1">
      <alignment horizontal="right" vertical="center"/>
    </xf>
    <xf numFmtId="0" fontId="19" fillId="0" borderId="13" xfId="0" applyFont="1" applyBorder="1" applyAlignment="1">
      <alignment vertical="center"/>
    </xf>
    <xf numFmtId="0" fontId="19" fillId="0" borderId="0" xfId="0" applyFont="1" applyAlignment="1">
      <alignment vertical="center"/>
    </xf>
    <xf numFmtId="0" fontId="19" fillId="0" borderId="17" xfId="0" applyFont="1" applyBorder="1" applyAlignment="1">
      <alignment vertical="center"/>
    </xf>
    <xf numFmtId="0" fontId="19" fillId="0" borderId="18" xfId="0" applyFont="1" applyBorder="1" applyAlignment="1">
      <alignment vertical="center"/>
    </xf>
    <xf numFmtId="0" fontId="18" fillId="0" borderId="0" xfId="0" applyFont="1" applyAlignment="1">
      <alignment vertical="center"/>
    </xf>
    <xf numFmtId="0" fontId="27" fillId="25" borderId="18" xfId="0" applyFont="1" applyFill="1" applyBorder="1" applyAlignment="1">
      <alignment horizontal="center" vertical="center"/>
    </xf>
    <xf numFmtId="0" fontId="27" fillId="25" borderId="17" xfId="0" applyFont="1" applyFill="1" applyBorder="1" applyAlignment="1">
      <alignment horizontal="center" vertical="center"/>
    </xf>
    <xf numFmtId="0" fontId="27" fillId="25" borderId="19" xfId="0" applyFont="1" applyFill="1" applyBorder="1" applyAlignment="1">
      <alignment horizontal="center" vertical="center"/>
    </xf>
    <xf numFmtId="0" fontId="24" fillId="24" borderId="0" xfId="0" applyFont="1" applyFill="1" applyAlignment="1">
      <alignment horizontal="left" wrapText="1"/>
    </xf>
    <xf numFmtId="0" fontId="24" fillId="24" borderId="11" xfId="0" applyFont="1" applyFill="1" applyBorder="1" applyAlignment="1">
      <alignment horizontal="left" vertical="top" wrapText="1"/>
    </xf>
    <xf numFmtId="0" fontId="37" fillId="24" borderId="0" xfId="0" applyFont="1" applyFill="1" applyAlignment="1">
      <alignment horizontal="left" vertical="top" wrapText="1"/>
    </xf>
    <xf numFmtId="0" fontId="25" fillId="24" borderId="0" xfId="0" applyFont="1" applyFill="1" applyAlignment="1">
      <alignment horizontal="left" vertical="center" wrapText="1"/>
    </xf>
    <xf numFmtId="0" fontId="27" fillId="25" borderId="17" xfId="0" applyFont="1" applyFill="1" applyBorder="1" applyAlignment="1">
      <alignment horizontal="left" vertical="center" wrapText="1"/>
    </xf>
    <xf numFmtId="0" fontId="0" fillId="0" borderId="0" xfId="0" applyAlignment="1">
      <alignment horizontal="left" wrapText="1"/>
    </xf>
    <xf numFmtId="0" fontId="19" fillId="0" borderId="0" xfId="0" applyFont="1" applyAlignment="1">
      <alignment horizontal="left" wrapText="1"/>
    </xf>
    <xf numFmtId="0" fontId="19" fillId="0" borderId="21" xfId="0" applyFont="1" applyBorder="1" applyAlignment="1">
      <alignment horizontal="left" vertical="center" wrapText="1"/>
    </xf>
    <xf numFmtId="0" fontId="19" fillId="0" borderId="21" xfId="0" applyFont="1" applyBorder="1" applyAlignment="1">
      <alignment horizontal="center" vertical="center"/>
    </xf>
    <xf numFmtId="0" fontId="19" fillId="0" borderId="27" xfId="0" applyFont="1" applyBorder="1" applyAlignment="1">
      <alignment horizontal="left" vertical="center" wrapText="1"/>
    </xf>
    <xf numFmtId="0" fontId="19" fillId="0" borderId="27" xfId="0" applyFont="1" applyBorder="1" applyAlignment="1">
      <alignment horizontal="center" vertical="center" wrapText="1"/>
    </xf>
    <xf numFmtId="0" fontId="0" fillId="0" borderId="27" xfId="0" applyBorder="1" applyAlignment="1">
      <alignment vertical="center" wrapText="1"/>
    </xf>
    <xf numFmtId="0" fontId="0" fillId="0" borderId="27" xfId="33" applyFont="1" applyBorder="1" applyAlignment="1">
      <alignment horizontal="left" vertical="center" wrapText="1"/>
    </xf>
    <xf numFmtId="0" fontId="0" fillId="0" borderId="27" xfId="33" applyFont="1" applyBorder="1" applyAlignment="1">
      <alignment vertical="center" wrapText="1"/>
    </xf>
    <xf numFmtId="0" fontId="34" fillId="0" borderId="21" xfId="0" applyFont="1" applyBorder="1" applyAlignment="1">
      <alignment horizontal="center" vertical="center"/>
    </xf>
    <xf numFmtId="49" fontId="0" fillId="0" borderId="23" xfId="33" applyNumberFormat="1" applyFont="1" applyBorder="1" applyAlignment="1">
      <alignment vertical="center" wrapText="1"/>
    </xf>
    <xf numFmtId="0" fontId="0" fillId="0" borderId="28" xfId="0" applyBorder="1" applyAlignment="1">
      <alignment wrapText="1"/>
    </xf>
    <xf numFmtId="0" fontId="25" fillId="24" borderId="0" xfId="0" applyFont="1" applyFill="1" applyAlignment="1">
      <alignment horizontal="right"/>
    </xf>
    <xf numFmtId="0" fontId="25" fillId="24" borderId="0" xfId="0" applyFont="1" applyFill="1" applyAlignment="1">
      <alignment horizontal="right" vertical="top"/>
    </xf>
    <xf numFmtId="0" fontId="31" fillId="24" borderId="0" xfId="0" applyFont="1" applyFill="1" applyAlignment="1">
      <alignment horizontal="right"/>
    </xf>
    <xf numFmtId="0" fontId="32" fillId="24" borderId="0" xfId="0" applyFont="1" applyFill="1" applyAlignment="1">
      <alignment horizontal="right"/>
    </xf>
    <xf numFmtId="0" fontId="27" fillId="25" borderId="30" xfId="0" applyFont="1" applyFill="1" applyBorder="1" applyAlignment="1">
      <alignment horizontal="center" vertical="center"/>
    </xf>
    <xf numFmtId="0" fontId="28" fillId="16" borderId="31" xfId="0" applyFont="1" applyFill="1" applyBorder="1" applyAlignment="1">
      <alignment horizontal="center" vertical="top" wrapText="1"/>
    </xf>
    <xf numFmtId="0" fontId="21" fillId="24" borderId="14" xfId="0" applyFont="1" applyFill="1" applyBorder="1" applyAlignment="1">
      <alignment horizontal="center" vertical="center"/>
    </xf>
    <xf numFmtId="0" fontId="28" fillId="16" borderId="24" xfId="0" applyFont="1" applyFill="1" applyBorder="1" applyAlignment="1">
      <alignment horizontal="center" vertical="center"/>
    </xf>
    <xf numFmtId="0" fontId="19" fillId="0" borderId="25" xfId="0" applyFont="1" applyBorder="1" applyAlignment="1" applyProtection="1">
      <alignment horizontal="center" vertical="center" wrapText="1"/>
      <protection locked="0"/>
    </xf>
    <xf numFmtId="0" fontId="28" fillId="16" borderId="24" xfId="0" applyFont="1" applyFill="1" applyBorder="1" applyAlignment="1">
      <alignment horizontal="center" vertical="top" wrapText="1"/>
    </xf>
    <xf numFmtId="0" fontId="28" fillId="16" borderId="26" xfId="0" applyFont="1" applyFill="1" applyBorder="1" applyAlignment="1">
      <alignment horizontal="center" vertical="top" wrapText="1"/>
    </xf>
    <xf numFmtId="0" fontId="0" fillId="0" borderId="0" xfId="0" applyAlignment="1">
      <alignment horizontal="center" wrapText="1"/>
    </xf>
    <xf numFmtId="0" fontId="28" fillId="16" borderId="29" xfId="0" applyFont="1" applyFill="1" applyBorder="1" applyAlignment="1">
      <alignment horizontal="center" vertical="top" wrapText="1"/>
    </xf>
  </cellXfs>
  <cellStyles count="43">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Buena" xfId="19" xr:uid="{00000000-0005-0000-0000-000012000000}"/>
    <cellStyle name="Cálculo" xfId="20" builtinId="22" customBuiltin="1"/>
    <cellStyle name="Celda de comprobación" xfId="21" builtinId="23" customBuiltin="1"/>
    <cellStyle name="Celda vinculada" xfId="22" builtinId="24" customBuiltin="1"/>
    <cellStyle name="Encabezado 4" xfId="23" builtinId="19" customBuiltin="1"/>
    <cellStyle name="Énfasis1" xfId="24" builtinId="29" customBuiltin="1"/>
    <cellStyle name="Énfasis2" xfId="25" builtinId="33" customBuiltin="1"/>
    <cellStyle name="Énfasis3" xfId="26" builtinId="37" customBuiltin="1"/>
    <cellStyle name="Énfasis4" xfId="27" builtinId="41" customBuiltin="1"/>
    <cellStyle name="Énfasis5" xfId="28" builtinId="45" customBuiltin="1"/>
    <cellStyle name="Énfasis6" xfId="29" builtinId="49" customBuiltin="1"/>
    <cellStyle name="Entrada" xfId="30" builtinId="20" customBuiltin="1"/>
    <cellStyle name="Incorrecto" xfId="31" builtinId="27" customBuiltin="1"/>
    <cellStyle name="Neutral" xfId="32" builtinId="28" customBuiltin="1"/>
    <cellStyle name="Normal" xfId="0" builtinId="0"/>
    <cellStyle name="Normal 4" xfId="33" xr:uid="{00000000-0005-0000-0000-000021000000}"/>
    <cellStyle name="Notas" xfId="34" builtinId="10" customBuiltin="1"/>
    <cellStyle name="Salida" xfId="35" builtinId="21" customBuiltin="1"/>
    <cellStyle name="Texto de advertencia" xfId="36" builtinId="11" customBuiltin="1"/>
    <cellStyle name="Texto explicativo" xfId="37" builtinId="53" customBuiltin="1"/>
    <cellStyle name="Título" xfId="38" builtinId="15" customBuiltin="1"/>
    <cellStyle name="Título 1" xfId="39" xr:uid="{00000000-0005-0000-0000-000027000000}"/>
    <cellStyle name="Título 2" xfId="40" builtinId="17" customBuiltin="1"/>
    <cellStyle name="Título 3" xfId="41" builtinId="18" customBuiltin="1"/>
    <cellStyle name="Total" xfId="42"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s-MX"/>
              <a:t>Avance</a:t>
            </a:r>
          </a:p>
        </c:rich>
      </c:tx>
      <c:layout>
        <c:manualLayout>
          <c:xMode val="edge"/>
          <c:yMode val="edge"/>
          <c:x val="0.43626839328010825"/>
          <c:y val="8.4618211185140318E-2"/>
        </c:manualLayout>
      </c:layout>
      <c:overlay val="0"/>
      <c:spPr>
        <a:noFill/>
        <a:ln w="25400">
          <a:noFill/>
        </a:ln>
      </c:spPr>
    </c:title>
    <c:autoTitleDeleted val="0"/>
    <c:plotArea>
      <c:layout>
        <c:manualLayout>
          <c:layoutTarget val="inner"/>
          <c:xMode val="edge"/>
          <c:yMode val="edge"/>
          <c:x val="0.11155723000775486"/>
          <c:y val="0.31539478342306831"/>
          <c:w val="0.73707455540838041"/>
          <c:h val="0.53463262068056705"/>
        </c:manualLayout>
      </c:layout>
      <c:barChart>
        <c:barDir val="col"/>
        <c:grouping val="clustered"/>
        <c:varyColors val="0"/>
        <c:ser>
          <c:idx val="0"/>
          <c:order val="0"/>
          <c:spPr>
            <a:gradFill rotWithShape="0">
              <a:gsLst>
                <a:gs pos="0">
                  <a:srgbClr val="00B050"/>
                </a:gs>
                <a:gs pos="50000">
                  <a:srgbClr val="FFFFFF"/>
                </a:gs>
                <a:gs pos="100000">
                  <a:srgbClr val="00B050"/>
                </a:gs>
              </a:gsLst>
              <a:lin ang="5400000" scaled="1"/>
            </a:gradFill>
            <a:ln w="12700">
              <a:solidFill>
                <a:srgbClr val="000000"/>
              </a:solidFill>
              <a:prstDash val="solid"/>
            </a:ln>
          </c:spPr>
          <c:invertIfNegative val="0"/>
          <c:dPt>
            <c:idx val="0"/>
            <c:invertIfNegative val="0"/>
            <c:bubble3D val="0"/>
            <c:extLst>
              <c:ext xmlns:c16="http://schemas.microsoft.com/office/drawing/2014/chart" uri="{C3380CC4-5D6E-409C-BE32-E72D297353CC}">
                <c16:uniqueId val="{00000000-50D7-436D-8831-123C6EBB4872}"/>
              </c:ext>
            </c:extLst>
          </c:dPt>
          <c:val>
            <c:numRef>
              <c:f>'Control de Casos Prueba A.Nivel'!$C$4:$C$5</c:f>
              <c:numCache>
                <c:formatCode>General</c:formatCode>
                <c:ptCount val="2"/>
                <c:pt idx="0">
                  <c:v>12</c:v>
                </c:pt>
                <c:pt idx="1">
                  <c:v>0</c:v>
                </c:pt>
              </c:numCache>
            </c:numRef>
          </c:val>
          <c:extLst>
            <c:ext xmlns:c16="http://schemas.microsoft.com/office/drawing/2014/chart" uri="{C3380CC4-5D6E-409C-BE32-E72D297353CC}">
              <c16:uniqueId val="{00000001-50D7-436D-8831-123C6EBB4872}"/>
            </c:ext>
          </c:extLst>
        </c:ser>
        <c:dLbls>
          <c:showLegendKey val="0"/>
          <c:showVal val="0"/>
          <c:showCatName val="0"/>
          <c:showSerName val="0"/>
          <c:showPercent val="0"/>
          <c:showBubbleSize val="0"/>
        </c:dLbls>
        <c:gapWidth val="150"/>
        <c:axId val="321675231"/>
        <c:axId val="1"/>
      </c:barChart>
      <c:catAx>
        <c:axId val="321675231"/>
        <c:scaling>
          <c:orientation val="minMax"/>
        </c:scaling>
        <c:delete val="1"/>
        <c:axPos val="b"/>
        <c:majorTickMark val="out"/>
        <c:minorTickMark val="none"/>
        <c:tickLblPos val="nextTo"/>
        <c:crossAx val="1"/>
        <c:crossesAt val="0"/>
        <c:auto val="1"/>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1025" b="0" i="0" u="none" strike="noStrike" baseline="0">
                <a:solidFill>
                  <a:srgbClr val="000000"/>
                </a:solidFill>
                <a:latin typeface="Arial"/>
                <a:ea typeface="Arial"/>
                <a:cs typeface="Arial"/>
              </a:defRPr>
            </a:pPr>
            <a:endParaRPr lang="es-MX"/>
          </a:p>
        </c:txPr>
        <c:crossAx val="321675231"/>
        <c:crossesAt val="1"/>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MX"/>
    </a:p>
  </c:txPr>
  <c:printSettings>
    <c:headerFooter alignWithMargins="0"/>
    <c:pageMargins b="1" l="0.75" r="0.75" t="1" header="0.51180555555555551" footer="0.51180555555555551"/>
    <c:pageSetup firstPageNumber="0"/>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1619250</xdr:colOff>
      <xdr:row>3</xdr:row>
      <xdr:rowOff>9525</xdr:rowOff>
    </xdr:from>
    <xdr:to>
      <xdr:col>2</xdr:col>
      <xdr:colOff>1628775</xdr:colOff>
      <xdr:row>7</xdr:row>
      <xdr:rowOff>9525</xdr:rowOff>
    </xdr:to>
    <xdr:sp macro="" textlink="">
      <xdr:nvSpPr>
        <xdr:cNvPr id="1227" name="Line 2">
          <a:extLst>
            <a:ext uri="{FF2B5EF4-FFF2-40B4-BE49-F238E27FC236}">
              <a16:creationId xmlns:a16="http://schemas.microsoft.com/office/drawing/2014/main" id="{9B69E665-396C-453E-3312-295D37204079}"/>
            </a:ext>
          </a:extLst>
        </xdr:cNvPr>
        <xdr:cNvSpPr>
          <a:spLocks noChangeShapeType="1"/>
        </xdr:cNvSpPr>
      </xdr:nvSpPr>
      <xdr:spPr bwMode="auto">
        <a:xfrm>
          <a:off x="4905375" y="657225"/>
          <a:ext cx="9525" cy="647700"/>
        </a:xfrm>
        <a:prstGeom prst="line">
          <a:avLst/>
        </a:prstGeom>
        <a:noFill/>
        <a:ln w="9360" cap="sq">
          <a:solidFill>
            <a:srgbClr val="FFFFFF"/>
          </a:solidFill>
          <a:miter lim="800000"/>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0</xdr:colOff>
      <xdr:row>9</xdr:row>
      <xdr:rowOff>9525</xdr:rowOff>
    </xdr:from>
    <xdr:to>
      <xdr:col>3</xdr:col>
      <xdr:colOff>9525</xdr:colOff>
      <xdr:row>24</xdr:row>
      <xdr:rowOff>0</xdr:rowOff>
    </xdr:to>
    <xdr:graphicFrame macro="">
      <xdr:nvGraphicFramePr>
        <xdr:cNvPr id="1228" name="Gráfico 5">
          <a:extLst>
            <a:ext uri="{FF2B5EF4-FFF2-40B4-BE49-F238E27FC236}">
              <a16:creationId xmlns:a16="http://schemas.microsoft.com/office/drawing/2014/main" id="{42DA3C4F-79F2-670C-E365-1D068EA098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571500</xdr:colOff>
      <xdr:row>22</xdr:row>
      <xdr:rowOff>104775</xdr:rowOff>
    </xdr:from>
    <xdr:to>
      <xdr:col>1</xdr:col>
      <xdr:colOff>542925</xdr:colOff>
      <xdr:row>23</xdr:row>
      <xdr:rowOff>190500</xdr:rowOff>
    </xdr:to>
    <xdr:sp macro="" textlink="" fLocksText="0">
      <xdr:nvSpPr>
        <xdr:cNvPr id="1030" name="Text Box 7">
          <a:extLst>
            <a:ext uri="{FF2B5EF4-FFF2-40B4-BE49-F238E27FC236}">
              <a16:creationId xmlns:a16="http://schemas.microsoft.com/office/drawing/2014/main" id="{9BDD4859-7A54-9DAF-BDB9-4DD3F895445A}"/>
            </a:ext>
          </a:extLst>
        </xdr:cNvPr>
        <xdr:cNvSpPr txBox="1">
          <a:spLocks noChangeArrowheads="1"/>
        </xdr:cNvSpPr>
      </xdr:nvSpPr>
      <xdr:spPr bwMode="auto">
        <a:xfrm>
          <a:off x="571500" y="3686175"/>
          <a:ext cx="1666875" cy="247650"/>
        </a:xfrm>
        <a:prstGeom prst="rect">
          <a:avLst/>
        </a:prstGeom>
        <a:solidFill>
          <a:srgbClr val="FFFFFF"/>
        </a:solidFill>
        <a:ln>
          <a:noFill/>
        </a:ln>
        <a:effectLst/>
      </xdr:spPr>
      <xdr:txBody>
        <a:bodyPr vertOverflow="clip" wrap="square" lIns="27360" tIns="22680" rIns="27360" bIns="0" anchor="t"/>
        <a:lstStyle/>
        <a:p>
          <a:pPr algn="ctr" rtl="0">
            <a:defRPr sz="1000"/>
          </a:pPr>
          <a:r>
            <a:rPr lang="es-MX" sz="1000" b="0" i="0" u="none" strike="noStrike" baseline="0">
              <a:solidFill>
                <a:srgbClr val="000000"/>
              </a:solidFill>
              <a:latin typeface="Arial"/>
              <a:cs typeface="Arial"/>
            </a:rPr>
            <a:t>Total de Casos de Prueba</a:t>
          </a:r>
        </a:p>
      </xdr:txBody>
    </xdr:sp>
    <xdr:clientData/>
  </xdr:twoCellAnchor>
  <xdr:twoCellAnchor>
    <xdr:from>
      <xdr:col>1</xdr:col>
      <xdr:colOff>657225</xdr:colOff>
      <xdr:row>22</xdr:row>
      <xdr:rowOff>47625</xdr:rowOff>
    </xdr:from>
    <xdr:to>
      <xdr:col>2</xdr:col>
      <xdr:colOff>1428750</xdr:colOff>
      <xdr:row>23</xdr:row>
      <xdr:rowOff>209550</xdr:rowOff>
    </xdr:to>
    <xdr:sp macro="" textlink="" fLocksText="0">
      <xdr:nvSpPr>
        <xdr:cNvPr id="1031" name="Text Box 8">
          <a:extLst>
            <a:ext uri="{FF2B5EF4-FFF2-40B4-BE49-F238E27FC236}">
              <a16:creationId xmlns:a16="http://schemas.microsoft.com/office/drawing/2014/main" id="{14B2B728-9078-EF1D-25ED-D23932AEA17A}"/>
            </a:ext>
          </a:extLst>
        </xdr:cNvPr>
        <xdr:cNvSpPr txBox="1">
          <a:spLocks noChangeArrowheads="1"/>
        </xdr:cNvSpPr>
      </xdr:nvSpPr>
      <xdr:spPr bwMode="auto">
        <a:xfrm>
          <a:off x="2352675" y="3629025"/>
          <a:ext cx="1676400" cy="323850"/>
        </a:xfrm>
        <a:prstGeom prst="rect">
          <a:avLst/>
        </a:prstGeom>
        <a:solidFill>
          <a:srgbClr val="FFFFFF"/>
        </a:solidFill>
        <a:ln>
          <a:noFill/>
        </a:ln>
        <a:effectLst/>
      </xdr:spPr>
      <xdr:txBody>
        <a:bodyPr vertOverflow="clip" wrap="square" lIns="27360" tIns="22680" rIns="27360" bIns="0" anchor="t"/>
        <a:lstStyle/>
        <a:p>
          <a:pPr algn="ctr" rtl="0">
            <a:defRPr sz="1000"/>
          </a:pPr>
          <a:r>
            <a:rPr lang="es-MX" sz="1000" b="0" i="0" u="none" strike="noStrike" baseline="0">
              <a:solidFill>
                <a:srgbClr val="000000"/>
              </a:solidFill>
              <a:latin typeface="Arial"/>
              <a:cs typeface="Arial"/>
            </a:rPr>
            <a:t>Casos de Prueba Ejecutados</a:t>
          </a:r>
        </a:p>
      </xdr:txBody>
    </xdr:sp>
    <xdr:clientData/>
  </xdr:twoCellAnchor>
  <xdr:twoCellAnchor>
    <xdr:from>
      <xdr:col>2</xdr:col>
      <xdr:colOff>0</xdr:colOff>
      <xdr:row>7</xdr:row>
      <xdr:rowOff>152400</xdr:rowOff>
    </xdr:from>
    <xdr:to>
      <xdr:col>2</xdr:col>
      <xdr:colOff>2171700</xdr:colOff>
      <xdr:row>7</xdr:row>
      <xdr:rowOff>152400</xdr:rowOff>
    </xdr:to>
    <xdr:sp macro="" textlink="">
      <xdr:nvSpPr>
        <xdr:cNvPr id="1231" name="Line 13">
          <a:extLst>
            <a:ext uri="{FF2B5EF4-FFF2-40B4-BE49-F238E27FC236}">
              <a16:creationId xmlns:a16="http://schemas.microsoft.com/office/drawing/2014/main" id="{EB2AE74D-75EA-4DD5-DF29-CFBF4E8204AB}"/>
            </a:ext>
          </a:extLst>
        </xdr:cNvPr>
        <xdr:cNvSpPr>
          <a:spLocks noChangeShapeType="1"/>
        </xdr:cNvSpPr>
      </xdr:nvSpPr>
      <xdr:spPr bwMode="auto">
        <a:xfrm>
          <a:off x="3286125" y="1447800"/>
          <a:ext cx="2171700" cy="0"/>
        </a:xfrm>
        <a:prstGeom prst="line">
          <a:avLst/>
        </a:prstGeom>
        <a:noFill/>
        <a:ln w="9360" cap="sq">
          <a:solidFill>
            <a:srgbClr val="000000"/>
          </a:solidFill>
          <a:miter lim="800000"/>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1257300</xdr:colOff>
      <xdr:row>1</xdr:row>
      <xdr:rowOff>95250</xdr:rowOff>
    </xdr:from>
    <xdr:to>
      <xdr:col>3</xdr:col>
      <xdr:colOff>2647950</xdr:colOff>
      <xdr:row>4</xdr:row>
      <xdr:rowOff>19050</xdr:rowOff>
    </xdr:to>
    <xdr:grpSp>
      <xdr:nvGrpSpPr>
        <xdr:cNvPr id="1232" name="Grupo 1">
          <a:extLst>
            <a:ext uri="{FF2B5EF4-FFF2-40B4-BE49-F238E27FC236}">
              <a16:creationId xmlns:a16="http://schemas.microsoft.com/office/drawing/2014/main" id="{F9AE3A21-6A94-2462-BA88-864F70D115E7}"/>
            </a:ext>
          </a:extLst>
        </xdr:cNvPr>
        <xdr:cNvGrpSpPr>
          <a:grpSpLocks/>
        </xdr:cNvGrpSpPr>
      </xdr:nvGrpSpPr>
      <xdr:grpSpPr bwMode="auto">
        <a:xfrm>
          <a:off x="6720840" y="259080"/>
          <a:ext cx="1394460" cy="571500"/>
          <a:chOff x="10496550" y="142875"/>
          <a:chExt cx="1392555" cy="575945"/>
        </a:xfrm>
      </xdr:grpSpPr>
      <xdr:pic>
        <xdr:nvPicPr>
          <xdr:cNvPr id="1233" name="Imagen 2" descr="Icono&#10;&#10;Descripción generada automáticamente">
            <a:extLst>
              <a:ext uri="{FF2B5EF4-FFF2-40B4-BE49-F238E27FC236}">
                <a16:creationId xmlns:a16="http://schemas.microsoft.com/office/drawing/2014/main" id="{35A40A62-5450-8D32-C113-2DC5733A4FF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496550" y="142875"/>
            <a:ext cx="640080" cy="5759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234" name="Imagen 3" descr="Icono&#10;&#10;Descripción generada automáticamente">
            <a:extLst>
              <a:ext uri="{FF2B5EF4-FFF2-40B4-BE49-F238E27FC236}">
                <a16:creationId xmlns:a16="http://schemas.microsoft.com/office/drawing/2014/main" id="{78902101-19E9-A803-D79C-B183DC93A0F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210925" y="266700"/>
            <a:ext cx="678180" cy="29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c:userShapes xmlns:c="http://schemas.openxmlformats.org/drawingml/2006/chart">
  <cdr:relSizeAnchor xmlns:cdr="http://schemas.openxmlformats.org/drawingml/2006/chartDrawing">
    <cdr:from>
      <cdr:x>0.10969</cdr:x>
      <cdr:y>0.81509</cdr:y>
    </cdr:from>
    <cdr:to>
      <cdr:x>0.11307</cdr:x>
      <cdr:y>0.87829</cdr:y>
    </cdr:to>
    <cdr:sp macro="" textlink="">
      <cdr:nvSpPr>
        <cdr:cNvPr id="3073" name="Text Box 1"/>
        <cdr:cNvSpPr txBox="1">
          <a:spLocks xmlns:a="http://schemas.openxmlformats.org/drawingml/2006/main" noChangeArrowheads="1"/>
        </cdr:cNvSpPr>
      </cdr:nvSpPr>
      <cdr:spPr bwMode="auto">
        <a:xfrm xmlns:a="http://schemas.openxmlformats.org/drawingml/2006/main">
          <a:off x="599688" y="2018569"/>
          <a:ext cx="18531" cy="156518"/>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cdr:spPr>
      <cdr:txBody>
        <a:bodyPr xmlns:a="http://schemas.openxmlformats.org/drawingml/2006/main" wrap="none" lIns="18288" tIns="0" rIns="0" bIns="0" anchor="ctr" upright="1">
          <a:spAutoFit/>
        </a:bodyPr>
        <a:lstStyle xmlns:a="http://schemas.openxmlformats.org/drawingml/2006/main"/>
        <a:p xmlns:a="http://schemas.openxmlformats.org/drawingml/2006/main">
          <a:pPr algn="ctr" rtl="0">
            <a:defRPr sz="1000"/>
          </a:pPr>
          <a:endParaRPr lang="es-MX"/>
        </a:p>
      </cdr:txBody>
    </cdr:sp>
  </cdr:relSizeAnchor>
</c:userShapes>
</file>

<file path=xl/drawings/drawing3.xml><?xml version="1.0" encoding="utf-8"?>
<xdr:wsDr xmlns:xdr="http://schemas.openxmlformats.org/drawingml/2006/spreadsheetDrawing" xmlns:a="http://schemas.openxmlformats.org/drawingml/2006/main">
  <xdr:twoCellAnchor>
    <xdr:from>
      <xdr:col>7</xdr:col>
      <xdr:colOff>638175</xdr:colOff>
      <xdr:row>1</xdr:row>
      <xdr:rowOff>57150</xdr:rowOff>
    </xdr:from>
    <xdr:to>
      <xdr:col>7</xdr:col>
      <xdr:colOff>2028825</xdr:colOff>
      <xdr:row>4</xdr:row>
      <xdr:rowOff>28575</xdr:rowOff>
    </xdr:to>
    <xdr:grpSp>
      <xdr:nvGrpSpPr>
        <xdr:cNvPr id="2149" name="Grupo 3">
          <a:extLst>
            <a:ext uri="{FF2B5EF4-FFF2-40B4-BE49-F238E27FC236}">
              <a16:creationId xmlns:a16="http://schemas.microsoft.com/office/drawing/2014/main" id="{CD25DAA1-3501-1D16-25EE-EAD640207B9D}"/>
            </a:ext>
          </a:extLst>
        </xdr:cNvPr>
        <xdr:cNvGrpSpPr>
          <a:grpSpLocks/>
        </xdr:cNvGrpSpPr>
      </xdr:nvGrpSpPr>
      <xdr:grpSpPr bwMode="auto">
        <a:xfrm>
          <a:off x="15163800" y="220980"/>
          <a:ext cx="1386840" cy="563880"/>
          <a:chOff x="10496550" y="142875"/>
          <a:chExt cx="1392555" cy="575945"/>
        </a:xfrm>
      </xdr:grpSpPr>
      <xdr:pic>
        <xdr:nvPicPr>
          <xdr:cNvPr id="2155" name="Imagen 1" descr="Icono&#10;&#10;Descripción generada automáticamente">
            <a:extLst>
              <a:ext uri="{FF2B5EF4-FFF2-40B4-BE49-F238E27FC236}">
                <a16:creationId xmlns:a16="http://schemas.microsoft.com/office/drawing/2014/main" id="{18A67070-9647-4195-1B17-72EAE44C18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96550" y="142875"/>
            <a:ext cx="640080" cy="5759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156" name="Imagen 2" descr="Icono&#10;&#10;Descripción generada automáticamente">
            <a:extLst>
              <a:ext uri="{FF2B5EF4-FFF2-40B4-BE49-F238E27FC236}">
                <a16:creationId xmlns:a16="http://schemas.microsoft.com/office/drawing/2014/main" id="{C8113B57-973F-1E52-899C-086E68CE1AA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210925" y="266700"/>
            <a:ext cx="678180" cy="29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2</xdr:col>
      <xdr:colOff>762000</xdr:colOff>
      <xdr:row>7</xdr:row>
      <xdr:rowOff>142876</xdr:rowOff>
    </xdr:from>
    <xdr:to>
      <xdr:col>3</xdr:col>
      <xdr:colOff>3619500</xdr:colOff>
      <xdr:row>10</xdr:row>
      <xdr:rowOff>304800</xdr:rowOff>
    </xdr:to>
    <xdr:sp macro="" textlink="">
      <xdr:nvSpPr>
        <xdr:cNvPr id="2" name="Rectángulo: esquinas redondeadas 1">
          <a:extLst>
            <a:ext uri="{FF2B5EF4-FFF2-40B4-BE49-F238E27FC236}">
              <a16:creationId xmlns:a16="http://schemas.microsoft.com/office/drawing/2014/main" id="{2573A26F-59DF-3EDC-9868-001F54FCDF49}"/>
            </a:ext>
          </a:extLst>
        </xdr:cNvPr>
        <xdr:cNvSpPr/>
      </xdr:nvSpPr>
      <xdr:spPr bwMode="auto">
        <a:xfrm>
          <a:off x="1171575" y="1400176"/>
          <a:ext cx="3648075" cy="657224"/>
        </a:xfrm>
        <a:prstGeom prst="roundRect">
          <a:avLst/>
        </a:prstGeom>
        <a:noFill/>
        <a:ln w="2857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lang="es-MX" sz="1100"/>
        </a:p>
      </xdr:txBody>
    </xdr:sp>
    <xdr:clientData/>
  </xdr:twoCellAnchor>
  <xdr:twoCellAnchor>
    <xdr:from>
      <xdr:col>3</xdr:col>
      <xdr:colOff>1795463</xdr:colOff>
      <xdr:row>10</xdr:row>
      <xdr:rowOff>304800</xdr:rowOff>
    </xdr:from>
    <xdr:to>
      <xdr:col>3</xdr:col>
      <xdr:colOff>2114550</xdr:colOff>
      <xdr:row>21</xdr:row>
      <xdr:rowOff>142875</xdr:rowOff>
    </xdr:to>
    <xdr:cxnSp macro="">
      <xdr:nvCxnSpPr>
        <xdr:cNvPr id="2151" name="Conector recto de flecha 3">
          <a:extLst>
            <a:ext uri="{FF2B5EF4-FFF2-40B4-BE49-F238E27FC236}">
              <a16:creationId xmlns:a16="http://schemas.microsoft.com/office/drawing/2014/main" id="{B1E98D65-FED3-788F-2089-7C4DFBA5C30D}"/>
            </a:ext>
          </a:extLst>
        </xdr:cNvPr>
        <xdr:cNvCxnSpPr>
          <a:cxnSpLocks noChangeShapeType="1"/>
          <a:endCxn id="2" idx="2"/>
        </xdr:cNvCxnSpPr>
      </xdr:nvCxnSpPr>
      <xdr:spPr bwMode="auto">
        <a:xfrm flipH="1" flipV="1">
          <a:off x="2995613" y="2057400"/>
          <a:ext cx="319087" cy="3562350"/>
        </a:xfrm>
        <a:prstGeom prst="straightConnector1">
          <a:avLst/>
        </a:prstGeom>
        <a:noFill/>
        <a:ln w="9525" algn="ctr">
          <a:solidFill>
            <a:srgbClr val="FF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3724275</xdr:colOff>
      <xdr:row>7</xdr:row>
      <xdr:rowOff>152401</xdr:rowOff>
    </xdr:from>
    <xdr:to>
      <xdr:col>5</xdr:col>
      <xdr:colOff>19050</xdr:colOff>
      <xdr:row>10</xdr:row>
      <xdr:rowOff>314325</xdr:rowOff>
    </xdr:to>
    <xdr:sp macro="" textlink="">
      <xdr:nvSpPr>
        <xdr:cNvPr id="6" name="Rectángulo: esquinas redondeadas 5">
          <a:extLst>
            <a:ext uri="{FF2B5EF4-FFF2-40B4-BE49-F238E27FC236}">
              <a16:creationId xmlns:a16="http://schemas.microsoft.com/office/drawing/2014/main" id="{E55714AC-47AA-05C1-4561-6F05BAFA8994}"/>
            </a:ext>
          </a:extLst>
        </xdr:cNvPr>
        <xdr:cNvSpPr/>
      </xdr:nvSpPr>
      <xdr:spPr bwMode="auto">
        <a:xfrm>
          <a:off x="4924425" y="1409701"/>
          <a:ext cx="4248150" cy="657224"/>
        </a:xfrm>
        <a:prstGeom prst="roundRect">
          <a:avLst/>
        </a:prstGeom>
        <a:noFill/>
        <a:ln w="2857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lang="es-MX" sz="1100"/>
        </a:p>
      </xdr:txBody>
    </xdr:sp>
    <xdr:clientData/>
  </xdr:twoCellAnchor>
  <xdr:twoCellAnchor>
    <xdr:from>
      <xdr:col>4</xdr:col>
      <xdr:colOff>2095500</xdr:colOff>
      <xdr:row>10</xdr:row>
      <xdr:rowOff>314325</xdr:rowOff>
    </xdr:from>
    <xdr:to>
      <xdr:col>4</xdr:col>
      <xdr:colOff>3228975</xdr:colOff>
      <xdr:row>22</xdr:row>
      <xdr:rowOff>9525</xdr:rowOff>
    </xdr:to>
    <xdr:cxnSp macro="">
      <xdr:nvCxnSpPr>
        <xdr:cNvPr id="2153" name="Conector recto de flecha 6">
          <a:extLst>
            <a:ext uri="{FF2B5EF4-FFF2-40B4-BE49-F238E27FC236}">
              <a16:creationId xmlns:a16="http://schemas.microsoft.com/office/drawing/2014/main" id="{7EE1C4A9-4FA8-19C4-E20F-390588A2FE95}"/>
            </a:ext>
          </a:extLst>
        </xdr:cNvPr>
        <xdr:cNvCxnSpPr>
          <a:cxnSpLocks noChangeShapeType="1"/>
          <a:endCxn id="6" idx="2"/>
        </xdr:cNvCxnSpPr>
      </xdr:nvCxnSpPr>
      <xdr:spPr bwMode="auto">
        <a:xfrm flipH="1" flipV="1">
          <a:off x="7048500" y="2066925"/>
          <a:ext cx="1133475" cy="3581400"/>
        </a:xfrm>
        <a:prstGeom prst="straightConnector1">
          <a:avLst/>
        </a:prstGeom>
        <a:noFill/>
        <a:ln w="9525" algn="ctr">
          <a:solidFill>
            <a:srgbClr val="FF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4076700</xdr:colOff>
      <xdr:row>11</xdr:row>
      <xdr:rowOff>238125</xdr:rowOff>
    </xdr:from>
    <xdr:to>
      <xdr:col>6</xdr:col>
      <xdr:colOff>209550</xdr:colOff>
      <xdr:row>18</xdr:row>
      <xdr:rowOff>152400</xdr:rowOff>
    </xdr:to>
    <xdr:cxnSp macro="">
      <xdr:nvCxnSpPr>
        <xdr:cNvPr id="2154" name="Conector recto de flecha 10">
          <a:extLst>
            <a:ext uri="{FF2B5EF4-FFF2-40B4-BE49-F238E27FC236}">
              <a16:creationId xmlns:a16="http://schemas.microsoft.com/office/drawing/2014/main" id="{27A51CA8-0897-B0CF-C725-8DECF5EDF270}"/>
            </a:ext>
          </a:extLst>
        </xdr:cNvPr>
        <xdr:cNvCxnSpPr>
          <a:cxnSpLocks noChangeShapeType="1"/>
        </xdr:cNvCxnSpPr>
      </xdr:nvCxnSpPr>
      <xdr:spPr bwMode="auto">
        <a:xfrm flipH="1" flipV="1">
          <a:off x="9029700" y="2314575"/>
          <a:ext cx="1800225" cy="2828925"/>
        </a:xfrm>
        <a:prstGeom prst="straightConnector1">
          <a:avLst/>
        </a:prstGeom>
        <a:noFill/>
        <a:ln w="9525" algn="ctr">
          <a:solidFill>
            <a:srgbClr val="FF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285750</xdr:colOff>
      <xdr:row>28</xdr:row>
      <xdr:rowOff>238125</xdr:rowOff>
    </xdr:from>
    <xdr:to>
      <xdr:col>3</xdr:col>
      <xdr:colOff>3314700</xdr:colOff>
      <xdr:row>28</xdr:row>
      <xdr:rowOff>600075</xdr:rowOff>
    </xdr:to>
    <xdr:sp macro="" textlink="">
      <xdr:nvSpPr>
        <xdr:cNvPr id="3" name="Rectángulo: esquinas redondeadas 2">
          <a:extLst>
            <a:ext uri="{FF2B5EF4-FFF2-40B4-BE49-F238E27FC236}">
              <a16:creationId xmlns:a16="http://schemas.microsoft.com/office/drawing/2014/main" id="{E625263D-8A72-4F0D-8641-0DE6DE5BCFFB}"/>
            </a:ext>
            <a:ext uri="{147F2762-F138-4A5C-976F-8EAC2B608ADB}">
              <a16:predDERef xmlns:a16="http://schemas.microsoft.com/office/drawing/2014/main" pred="{27A51CA8-0897-B0CF-C725-8DECF5EDF270}"/>
            </a:ext>
          </a:extLst>
        </xdr:cNvPr>
        <xdr:cNvSpPr/>
      </xdr:nvSpPr>
      <xdr:spPr bwMode="auto">
        <a:xfrm>
          <a:off x="1895475" y="9515475"/>
          <a:ext cx="3819525" cy="361950"/>
        </a:xfrm>
        <a:prstGeom prst="roundRect">
          <a:avLst/>
        </a:prstGeom>
        <a:noFill/>
        <a:ln w="2857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lang="es-MX" sz="1100"/>
        </a:p>
      </xdr:txBody>
    </xdr:sp>
    <xdr:clientData/>
  </xdr:twoCellAnchor>
  <xdr:twoCellAnchor>
    <xdr:from>
      <xdr:col>3</xdr:col>
      <xdr:colOff>3314700</xdr:colOff>
      <xdr:row>28</xdr:row>
      <xdr:rowOff>481013</xdr:rowOff>
    </xdr:from>
    <xdr:to>
      <xdr:col>5</xdr:col>
      <xdr:colOff>1352550</xdr:colOff>
      <xdr:row>44</xdr:row>
      <xdr:rowOff>38100</xdr:rowOff>
    </xdr:to>
    <xdr:cxnSp macro="">
      <xdr:nvCxnSpPr>
        <xdr:cNvPr id="4" name="Conector recto de flecha 2">
          <a:extLst>
            <a:ext uri="{FF2B5EF4-FFF2-40B4-BE49-F238E27FC236}">
              <a16:creationId xmlns:a16="http://schemas.microsoft.com/office/drawing/2014/main" id="{CB6A4845-6720-4A71-9733-86D3058C17F2}"/>
            </a:ext>
            <a:ext uri="{147F2762-F138-4A5C-976F-8EAC2B608ADB}">
              <a16:predDERef xmlns:a16="http://schemas.microsoft.com/office/drawing/2014/main" pred="{E625263D-8A72-4F0D-8641-0DE6DE5BCFFB}"/>
            </a:ext>
          </a:extLst>
        </xdr:cNvPr>
        <xdr:cNvCxnSpPr>
          <a:cxnSpLocks noChangeShapeType="1"/>
          <a:endCxn id="3" idx="3"/>
          <a:extLst>
            <a:ext uri="{5F17804C-33F3-41E3-A699-7DCFA2EF7971}">
              <a16:cxnDERefs xmlns:a16="http://schemas.microsoft.com/office/drawing/2014/main" st="{00000000-0000-0000-0000-000000000000}" end="{E625263D-8A72-4F0D-8641-0DE6DE5BCFFB}"/>
            </a:ext>
          </a:extLst>
        </xdr:cNvCxnSpPr>
      </xdr:nvCxnSpPr>
      <xdr:spPr bwMode="auto">
        <a:xfrm flipH="1" flipV="1">
          <a:off x="5715000" y="9758363"/>
          <a:ext cx="5991225" cy="2747962"/>
        </a:xfrm>
        <a:prstGeom prst="straightConnector1">
          <a:avLst/>
        </a:prstGeom>
        <a:noFill/>
        <a:ln w="9525" algn="ctr">
          <a:solidFill>
            <a:srgbClr val="FF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638175</xdr:colOff>
      <xdr:row>1</xdr:row>
      <xdr:rowOff>57150</xdr:rowOff>
    </xdr:from>
    <xdr:to>
      <xdr:col>7</xdr:col>
      <xdr:colOff>2028825</xdr:colOff>
      <xdr:row>4</xdr:row>
      <xdr:rowOff>28575</xdr:rowOff>
    </xdr:to>
    <xdr:grpSp>
      <xdr:nvGrpSpPr>
        <xdr:cNvPr id="2" name="Grupo 3">
          <a:extLst>
            <a:ext uri="{FF2B5EF4-FFF2-40B4-BE49-F238E27FC236}">
              <a16:creationId xmlns:a16="http://schemas.microsoft.com/office/drawing/2014/main" id="{C25A9B6D-F1B3-481D-AD7F-4A59586E7442}"/>
            </a:ext>
          </a:extLst>
        </xdr:cNvPr>
        <xdr:cNvGrpSpPr>
          <a:grpSpLocks/>
        </xdr:cNvGrpSpPr>
      </xdr:nvGrpSpPr>
      <xdr:grpSpPr bwMode="auto">
        <a:xfrm>
          <a:off x="14581570" y="224246"/>
          <a:ext cx="1386840" cy="568234"/>
          <a:chOff x="10496550" y="142875"/>
          <a:chExt cx="1392555" cy="575945"/>
        </a:xfrm>
      </xdr:grpSpPr>
      <xdr:pic>
        <xdr:nvPicPr>
          <xdr:cNvPr id="3" name="Imagen 1" descr="Icono&#10;&#10;Descripción generada automáticamente">
            <a:extLst>
              <a:ext uri="{FF2B5EF4-FFF2-40B4-BE49-F238E27FC236}">
                <a16:creationId xmlns:a16="http://schemas.microsoft.com/office/drawing/2014/main" id="{AB342382-C0C7-5E48-0910-C6AC554E3B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96550" y="142875"/>
            <a:ext cx="640080" cy="5759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2" descr="Icono&#10;&#10;Descripción generada automáticamente">
            <a:extLst>
              <a:ext uri="{FF2B5EF4-FFF2-40B4-BE49-F238E27FC236}">
                <a16:creationId xmlns:a16="http://schemas.microsoft.com/office/drawing/2014/main" id="{F388CBA5-D672-FDCF-6F1B-6FF643D6530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210925" y="266700"/>
            <a:ext cx="678180" cy="29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
  <sheetViews>
    <sheetView workbookViewId="0">
      <pane ySplit="8" topLeftCell="A9" activePane="bottomLeft" state="frozen"/>
      <selection pane="bottomLeft" activeCell="M21" sqref="M21"/>
    </sheetView>
  </sheetViews>
  <sheetFormatPr baseColWidth="10" defaultColWidth="11.42578125" defaultRowHeight="12.75"/>
  <cols>
    <col min="1" max="1" width="25.42578125" style="67" customWidth="1"/>
    <col min="2" max="2" width="23.85546875" style="67" bestFit="1" customWidth="1"/>
    <col min="3" max="3" width="32.5703125" style="67" customWidth="1"/>
    <col min="4" max="4" width="40.140625" style="67" customWidth="1"/>
    <col min="5" max="5" width="24.7109375" style="67" customWidth="1"/>
    <col min="6" max="16384" width="11.42578125" style="46"/>
  </cols>
  <sheetData>
    <row r="1" spans="1:5">
      <c r="A1" s="42"/>
      <c r="B1" s="43"/>
      <c r="C1" s="44"/>
      <c r="D1" s="44"/>
      <c r="E1" s="45"/>
    </row>
    <row r="2" spans="1:5" ht="25.5" customHeight="1">
      <c r="A2" s="47" t="s">
        <v>0</v>
      </c>
      <c r="B2" s="48"/>
      <c r="C2" s="49"/>
      <c r="D2" s="94"/>
      <c r="E2" s="94"/>
    </row>
    <row r="3" spans="1:5">
      <c r="A3" s="50"/>
      <c r="B3" s="51"/>
      <c r="C3" s="41" t="s">
        <v>1</v>
      </c>
      <c r="D3" s="51"/>
      <c r="E3" s="52"/>
    </row>
    <row r="4" spans="1:5">
      <c r="A4" s="53" t="s">
        <v>2</v>
      </c>
      <c r="B4" s="39"/>
      <c r="C4" s="54">
        <f>MAX('Matriz de Pruebas'!A:A)</f>
        <v>12</v>
      </c>
      <c r="D4" s="55"/>
      <c r="E4" s="56"/>
    </row>
    <row r="5" spans="1:5">
      <c r="A5" s="53" t="s">
        <v>3</v>
      </c>
      <c r="B5" s="40"/>
      <c r="C5" s="57">
        <f>COUNTIF('Matriz de Pruebas'!$I$12:$I$43,"Probado")</f>
        <v>0</v>
      </c>
      <c r="D5" s="55"/>
      <c r="E5" s="58"/>
    </row>
    <row r="6" spans="1:5">
      <c r="A6" s="59" t="s">
        <v>4</v>
      </c>
      <c r="B6" s="40"/>
      <c r="C6" s="60">
        <f>PRODUCT(C5)/C4</f>
        <v>0</v>
      </c>
      <c r="D6" s="55"/>
      <c r="E6" s="58"/>
    </row>
    <row r="7" spans="1:5">
      <c r="A7" s="59" t="s">
        <v>5</v>
      </c>
      <c r="B7" s="40"/>
      <c r="C7" s="61"/>
      <c r="D7" s="55"/>
      <c r="E7" s="58"/>
    </row>
    <row r="8" spans="1:5" ht="13.5" thickBot="1">
      <c r="A8" s="50" t="s">
        <v>6</v>
      </c>
      <c r="B8" s="41"/>
      <c r="C8" s="51"/>
      <c r="D8" s="51"/>
      <c r="E8" s="62"/>
    </row>
    <row r="9" spans="1:5" ht="13.5" thickBot="1">
      <c r="A9" s="95" t="s">
        <v>7</v>
      </c>
      <c r="B9" s="95"/>
      <c r="C9" s="95"/>
      <c r="D9" s="95" t="s">
        <v>8</v>
      </c>
      <c r="E9" s="95"/>
    </row>
    <row r="10" spans="1:5">
      <c r="A10" s="63"/>
      <c r="B10" s="64"/>
      <c r="C10" s="64"/>
      <c r="D10" s="96"/>
      <c r="E10" s="96"/>
    </row>
    <row r="11" spans="1:5">
      <c r="A11" s="63"/>
      <c r="B11" s="64"/>
      <c r="C11" s="64"/>
      <c r="D11" s="96"/>
      <c r="E11" s="96"/>
    </row>
    <row r="12" spans="1:5">
      <c r="A12" s="63"/>
      <c r="B12" s="64"/>
      <c r="C12" s="64"/>
      <c r="D12" s="96"/>
      <c r="E12" s="96"/>
    </row>
    <row r="13" spans="1:5">
      <c r="A13" s="63"/>
      <c r="B13" s="64"/>
      <c r="C13" s="64"/>
      <c r="D13" s="96"/>
      <c r="E13" s="96"/>
    </row>
    <row r="14" spans="1:5">
      <c r="A14" s="63"/>
      <c r="B14" s="64"/>
      <c r="C14" s="64"/>
      <c r="D14" s="96"/>
      <c r="E14" s="96"/>
    </row>
    <row r="15" spans="1:5">
      <c r="A15" s="63"/>
      <c r="B15" s="64"/>
      <c r="C15" s="64"/>
      <c r="D15" s="96"/>
      <c r="E15" s="96"/>
    </row>
    <row r="16" spans="1:5">
      <c r="A16" s="63"/>
      <c r="B16" s="64"/>
      <c r="C16" s="64"/>
      <c r="D16" s="96"/>
      <c r="E16" s="96"/>
    </row>
    <row r="17" spans="1:5">
      <c r="A17" s="63"/>
      <c r="B17" s="64"/>
      <c r="C17" s="64"/>
      <c r="D17" s="96"/>
      <c r="E17" s="96"/>
    </row>
    <row r="18" spans="1:5">
      <c r="A18" s="63"/>
      <c r="B18" s="64"/>
      <c r="C18" s="64"/>
      <c r="D18" s="96"/>
      <c r="E18" s="96"/>
    </row>
    <row r="19" spans="1:5">
      <c r="A19" s="63"/>
      <c r="B19" s="65"/>
      <c r="C19" s="64"/>
      <c r="D19" s="96"/>
      <c r="E19" s="96"/>
    </row>
    <row r="20" spans="1:5">
      <c r="A20" s="63"/>
      <c r="B20" s="64"/>
      <c r="C20" s="64"/>
      <c r="D20" s="96"/>
      <c r="E20" s="96"/>
    </row>
    <row r="21" spans="1:5">
      <c r="A21" s="63"/>
      <c r="B21" s="64"/>
      <c r="C21" s="64"/>
      <c r="D21" s="96"/>
      <c r="E21" s="96"/>
    </row>
    <row r="22" spans="1:5">
      <c r="A22" s="63"/>
      <c r="B22" s="64"/>
      <c r="C22" s="64"/>
      <c r="D22" s="96"/>
      <c r="E22" s="96"/>
    </row>
    <row r="23" spans="1:5">
      <c r="A23" s="63"/>
      <c r="B23" s="64"/>
      <c r="C23" s="64"/>
      <c r="D23" s="96"/>
      <c r="E23" s="96"/>
    </row>
    <row r="24" spans="1:5" ht="17.25" customHeight="1">
      <c r="A24" s="66"/>
      <c r="B24" s="65"/>
      <c r="C24" s="65"/>
      <c r="D24" s="96"/>
      <c r="E24" s="96"/>
    </row>
  </sheetData>
  <sheetProtection selectLockedCells="1" selectUnlockedCells="1"/>
  <mergeCells count="4">
    <mergeCell ref="D2:E2"/>
    <mergeCell ref="A9:C9"/>
    <mergeCell ref="D9:E9"/>
    <mergeCell ref="D10:E24"/>
  </mergeCells>
  <pageMargins left="0.75" right="0.75" top="1" bottom="1" header="0.51180555555555551" footer="0.51180555555555551"/>
  <pageSetup firstPageNumber="0" orientation="landscape" horizontalDpi="300" verticalDpi="300"/>
  <headerFooter alignWithMargins="0"/>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35"/>
  <sheetViews>
    <sheetView zoomScaleNormal="100" workbookViewId="0">
      <pane ySplit="8" topLeftCell="A9" activePane="bottomLeft" state="frozen"/>
      <selection pane="bottomLeft" activeCell="D16" sqref="D16:E17"/>
    </sheetView>
  </sheetViews>
  <sheetFormatPr baseColWidth="10" defaultColWidth="9.140625" defaultRowHeight="12.75"/>
  <cols>
    <col min="1" max="1" width="6.140625" style="4" customWidth="1"/>
    <col min="2" max="2" width="18" style="77" customWidth="1"/>
    <col min="3" max="3" width="11.85546875" style="4" customWidth="1"/>
    <col min="4" max="4" width="56.28515625" style="26" customWidth="1"/>
    <col min="5" max="5" width="63" style="26" customWidth="1"/>
    <col min="6" max="6" width="22" style="4" customWidth="1"/>
    <col min="7" max="8" width="40.28515625" style="4" customWidth="1"/>
    <col min="9" max="9" width="13.140625" style="4" customWidth="1"/>
  </cols>
  <sheetData>
    <row r="1" spans="1:9">
      <c r="A1" s="5"/>
      <c r="B1" s="72"/>
      <c r="C1" s="6"/>
      <c r="D1" s="20"/>
      <c r="E1" s="20"/>
      <c r="F1" s="7"/>
      <c r="G1" s="7"/>
      <c r="H1" s="7"/>
      <c r="I1" s="8"/>
    </row>
    <row r="2" spans="1:9" ht="21.75">
      <c r="A2" s="19" t="s">
        <v>9</v>
      </c>
      <c r="B2" s="73"/>
      <c r="C2" s="9"/>
      <c r="D2" s="21"/>
      <c r="E2" s="22"/>
      <c r="F2" s="1"/>
      <c r="G2" s="1"/>
      <c r="H2" s="1"/>
      <c r="I2" s="2"/>
    </row>
    <row r="3" spans="1:9">
      <c r="A3" s="10"/>
      <c r="B3" s="71"/>
      <c r="C3" s="11"/>
      <c r="D3" s="23"/>
      <c r="E3" s="22"/>
      <c r="F3" s="3"/>
      <c r="G3" s="3"/>
      <c r="H3" s="3"/>
      <c r="I3" s="12"/>
    </row>
    <row r="4" spans="1:9">
      <c r="A4" s="13" t="s">
        <v>10</v>
      </c>
      <c r="B4" s="74"/>
      <c r="C4" s="14"/>
      <c r="D4" s="38">
        <v>45200</v>
      </c>
      <c r="E4" s="22"/>
      <c r="F4" s="3"/>
      <c r="G4" s="3"/>
      <c r="H4" s="3"/>
      <c r="I4" s="2"/>
    </row>
    <row r="5" spans="1:9">
      <c r="A5" s="13" t="s">
        <v>11</v>
      </c>
      <c r="B5" s="74"/>
      <c r="C5" s="14"/>
      <c r="D5" s="22"/>
      <c r="E5" s="22"/>
      <c r="F5" s="3"/>
      <c r="G5" s="3"/>
      <c r="H5" s="3"/>
      <c r="I5" s="15"/>
    </row>
    <row r="6" spans="1:9">
      <c r="A6" s="13" t="s">
        <v>12</v>
      </c>
      <c r="B6" s="74"/>
      <c r="C6" s="14"/>
      <c r="D6" s="23"/>
      <c r="E6" s="22"/>
      <c r="F6" s="3"/>
      <c r="G6" s="3"/>
      <c r="H6" s="3"/>
      <c r="I6" s="16"/>
    </row>
    <row r="7" spans="1:9" s="46" customFormat="1" ht="38.25">
      <c r="A7" s="68" t="s">
        <v>13</v>
      </c>
      <c r="B7" s="75" t="s">
        <v>14</v>
      </c>
      <c r="C7" s="69" t="s">
        <v>15</v>
      </c>
      <c r="D7" s="24" t="s">
        <v>16</v>
      </c>
      <c r="E7" s="24" t="s">
        <v>17</v>
      </c>
      <c r="F7" s="69" t="s">
        <v>18</v>
      </c>
      <c r="G7" s="69" t="s">
        <v>19</v>
      </c>
      <c r="H7" s="69" t="s">
        <v>20</v>
      </c>
      <c r="I7" s="70" t="s">
        <v>21</v>
      </c>
    </row>
    <row r="8" spans="1:9" ht="13.5" thickBot="1">
      <c r="A8" s="97" t="s">
        <v>22</v>
      </c>
      <c r="B8" s="97"/>
      <c r="C8" s="97"/>
      <c r="D8" s="98"/>
      <c r="E8" s="98"/>
      <c r="F8" s="97"/>
      <c r="G8" s="97"/>
      <c r="H8" s="97"/>
      <c r="I8" s="97"/>
    </row>
    <row r="9" spans="1:9" ht="25.5">
      <c r="A9" s="27">
        <v>1</v>
      </c>
      <c r="B9" s="78" t="s">
        <v>23</v>
      </c>
      <c r="C9" s="29" t="s">
        <v>24</v>
      </c>
      <c r="D9" s="31" t="s">
        <v>25</v>
      </c>
      <c r="E9" s="31" t="s">
        <v>26</v>
      </c>
      <c r="F9" s="33"/>
      <c r="G9" s="34"/>
      <c r="H9" s="35"/>
      <c r="I9" s="28" t="s">
        <v>27</v>
      </c>
    </row>
    <row r="10" spans="1:9" ht="25.5">
      <c r="A10" s="27">
        <v>2</v>
      </c>
      <c r="B10" s="78" t="s">
        <v>23</v>
      </c>
      <c r="C10" s="29" t="s">
        <v>24</v>
      </c>
      <c r="D10" s="31" t="s">
        <v>28</v>
      </c>
      <c r="E10" s="31" t="s">
        <v>26</v>
      </c>
      <c r="F10" s="33"/>
      <c r="G10" s="34"/>
      <c r="H10" s="35"/>
      <c r="I10" s="28" t="s">
        <v>27</v>
      </c>
    </row>
    <row r="11" spans="1:9" ht="25.5">
      <c r="A11" s="27">
        <v>3</v>
      </c>
      <c r="B11" s="78" t="s">
        <v>23</v>
      </c>
      <c r="C11" s="29" t="s">
        <v>24</v>
      </c>
      <c r="D11" s="31" t="s">
        <v>29</v>
      </c>
      <c r="E11" s="31" t="s">
        <v>30</v>
      </c>
      <c r="F11" s="33"/>
      <c r="G11" s="34"/>
      <c r="H11" s="35"/>
      <c r="I11" s="28" t="s">
        <v>27</v>
      </c>
    </row>
    <row r="12" spans="1:9" ht="25.5">
      <c r="A12" s="27">
        <v>4</v>
      </c>
      <c r="B12" s="78" t="s">
        <v>23</v>
      </c>
      <c r="C12" s="29" t="s">
        <v>24</v>
      </c>
      <c r="D12" s="31" t="s">
        <v>31</v>
      </c>
      <c r="E12" s="31" t="s">
        <v>32</v>
      </c>
      <c r="F12" s="33"/>
      <c r="G12" s="34"/>
      <c r="H12" s="35"/>
      <c r="I12" s="28" t="s">
        <v>27</v>
      </c>
    </row>
    <row r="13" spans="1:9" ht="51">
      <c r="A13" s="27">
        <v>5</v>
      </c>
      <c r="B13" s="78" t="s">
        <v>33</v>
      </c>
      <c r="C13" s="29" t="s">
        <v>24</v>
      </c>
      <c r="D13" s="31" t="s">
        <v>34</v>
      </c>
      <c r="E13" s="31" t="s">
        <v>35</v>
      </c>
      <c r="F13" s="33"/>
      <c r="G13" s="34"/>
      <c r="H13" s="35"/>
      <c r="I13" s="28"/>
    </row>
    <row r="14" spans="1:9" ht="51">
      <c r="A14" s="27">
        <v>6</v>
      </c>
      <c r="B14" s="78" t="s">
        <v>33</v>
      </c>
      <c r="C14" s="29" t="s">
        <v>24</v>
      </c>
      <c r="D14" s="32" t="s">
        <v>36</v>
      </c>
      <c r="E14" s="31" t="s">
        <v>37</v>
      </c>
      <c r="F14" s="33"/>
      <c r="G14" s="34"/>
      <c r="H14" s="35"/>
      <c r="I14" s="28"/>
    </row>
    <row r="15" spans="1:9" ht="25.5">
      <c r="A15" s="27">
        <v>7</v>
      </c>
      <c r="B15" s="78" t="s">
        <v>33</v>
      </c>
      <c r="C15" s="29" t="s">
        <v>24</v>
      </c>
      <c r="D15" s="32" t="s">
        <v>38</v>
      </c>
      <c r="E15" s="31" t="s">
        <v>39</v>
      </c>
      <c r="F15" s="33"/>
      <c r="G15" s="34"/>
      <c r="H15" s="35"/>
      <c r="I15" s="28"/>
    </row>
    <row r="16" spans="1:9" ht="25.5">
      <c r="A16" s="27">
        <v>8</v>
      </c>
      <c r="B16" s="78" t="s">
        <v>33</v>
      </c>
      <c r="C16" s="29" t="s">
        <v>24</v>
      </c>
      <c r="D16" s="30" t="s">
        <v>40</v>
      </c>
      <c r="E16" s="31" t="s">
        <v>41</v>
      </c>
      <c r="F16" s="33"/>
      <c r="G16" s="34"/>
      <c r="H16" s="35"/>
      <c r="I16" s="28"/>
    </row>
    <row r="17" spans="1:9" ht="38.25">
      <c r="A17" s="27">
        <v>9</v>
      </c>
      <c r="B17" s="78" t="s">
        <v>33</v>
      </c>
      <c r="C17" s="29" t="s">
        <v>24</v>
      </c>
      <c r="D17" s="30" t="s">
        <v>42</v>
      </c>
      <c r="E17" s="31" t="s">
        <v>43</v>
      </c>
      <c r="F17" s="33"/>
      <c r="G17" s="34"/>
      <c r="H17" s="35"/>
      <c r="I17" s="28"/>
    </row>
    <row r="18" spans="1:9">
      <c r="A18"/>
      <c r="B18" s="76"/>
      <c r="C18"/>
      <c r="D18" s="25"/>
      <c r="E18" s="25"/>
      <c r="F18"/>
      <c r="G18"/>
      <c r="H18"/>
      <c r="I18"/>
    </row>
    <row r="19" spans="1:9">
      <c r="A19"/>
      <c r="B19" s="76"/>
      <c r="C19"/>
      <c r="D19" s="25"/>
      <c r="E19" s="25"/>
      <c r="F19"/>
      <c r="G19"/>
      <c r="H19"/>
      <c r="I19"/>
    </row>
    <row r="20" spans="1:9">
      <c r="A20"/>
      <c r="B20" s="76"/>
      <c r="C20"/>
      <c r="D20" s="25"/>
      <c r="E20" s="25"/>
      <c r="F20"/>
      <c r="G20" s="99" t="s">
        <v>44</v>
      </c>
      <c r="H20" s="99"/>
      <c r="I20"/>
    </row>
    <row r="21" spans="1:9">
      <c r="A21"/>
      <c r="B21" s="76"/>
      <c r="C21"/>
      <c r="D21" s="25"/>
      <c r="E21" s="25"/>
      <c r="F21"/>
      <c r="G21" s="99"/>
      <c r="H21" s="99"/>
      <c r="I21"/>
    </row>
    <row r="22" spans="1:9">
      <c r="A22"/>
      <c r="B22" s="76"/>
      <c r="C22"/>
      <c r="D22" s="25"/>
      <c r="E22" s="25"/>
      <c r="F22"/>
      <c r="G22"/>
      <c r="H22"/>
      <c r="I22"/>
    </row>
    <row r="23" spans="1:9" ht="25.5">
      <c r="A23"/>
      <c r="B23" s="76"/>
      <c r="C23"/>
      <c r="D23" s="36" t="s">
        <v>45</v>
      </c>
      <c r="E23" s="36" t="s">
        <v>46</v>
      </c>
      <c r="F23"/>
      <c r="G23"/>
      <c r="H23"/>
      <c r="I23"/>
    </row>
    <row r="24" spans="1:9" ht="38.25">
      <c r="A24"/>
      <c r="B24" s="76"/>
      <c r="C24"/>
      <c r="D24" s="25" t="s">
        <v>47</v>
      </c>
      <c r="E24" s="25" t="s">
        <v>48</v>
      </c>
      <c r="F24"/>
      <c r="G24"/>
      <c r="H24"/>
      <c r="I24"/>
    </row>
    <row r="25" spans="1:9" ht="76.5">
      <c r="A25"/>
      <c r="B25" s="76"/>
      <c r="C25"/>
      <c r="D25" s="25" t="s">
        <v>49</v>
      </c>
      <c r="E25" s="25" t="s">
        <v>50</v>
      </c>
      <c r="F25"/>
      <c r="G25" s="25" t="s">
        <v>51</v>
      </c>
      <c r="H25" s="25"/>
      <c r="I25"/>
    </row>
    <row r="26" spans="1:9" ht="38.25">
      <c r="A26"/>
      <c r="B26" s="76"/>
      <c r="C26"/>
      <c r="D26" s="25" t="s">
        <v>52</v>
      </c>
      <c r="E26" s="25" t="s">
        <v>53</v>
      </c>
      <c r="F26"/>
      <c r="G26" s="36" t="s">
        <v>54</v>
      </c>
      <c r="H26" s="25"/>
      <c r="I26"/>
    </row>
    <row r="27" spans="1:9" ht="51">
      <c r="D27" s="25" t="s">
        <v>55</v>
      </c>
      <c r="E27" s="25" t="s">
        <v>56</v>
      </c>
      <c r="F27" s="17"/>
      <c r="G27" s="25" t="s">
        <v>57</v>
      </c>
      <c r="H27" s="25" t="s">
        <v>58</v>
      </c>
      <c r="I27" s="18"/>
    </row>
    <row r="28" spans="1:9" ht="63.75">
      <c r="A28"/>
      <c r="B28" s="76"/>
      <c r="C28"/>
      <c r="D28" s="25"/>
      <c r="F28" s="17"/>
      <c r="G28" s="25" t="s">
        <v>59</v>
      </c>
      <c r="H28" s="25" t="s">
        <v>60</v>
      </c>
      <c r="I28" s="18"/>
    </row>
    <row r="29" spans="1:9" ht="63.75">
      <c r="A29"/>
      <c r="B29" s="76"/>
      <c r="C29"/>
      <c r="D29" s="25"/>
      <c r="F29" s="17"/>
      <c r="G29" s="25" t="s">
        <v>61</v>
      </c>
      <c r="H29" s="25" t="s">
        <v>62</v>
      </c>
      <c r="I29" s="18"/>
    </row>
    <row r="30" spans="1:9">
      <c r="A30"/>
      <c r="B30" s="76"/>
      <c r="C30"/>
      <c r="D30" s="25"/>
      <c r="F30" s="17"/>
      <c r="I30" s="18"/>
    </row>
    <row r="31" spans="1:9">
      <c r="A31"/>
      <c r="B31" s="76"/>
      <c r="C31"/>
      <c r="D31" s="25"/>
      <c r="F31" s="17"/>
      <c r="I31" s="18"/>
    </row>
    <row r="32" spans="1:9">
      <c r="A32"/>
      <c r="B32" s="76"/>
      <c r="C32"/>
      <c r="D32" s="25"/>
      <c r="F32" s="17"/>
      <c r="G32" s="17"/>
      <c r="I32" s="18"/>
    </row>
    <row r="33" spans="1:9">
      <c r="A33"/>
      <c r="B33" s="76"/>
      <c r="C33"/>
      <c r="D33" s="25"/>
      <c r="F33" s="17"/>
      <c r="G33" s="17"/>
      <c r="I33" s="18"/>
    </row>
    <row r="34" spans="1:9">
      <c r="A34"/>
      <c r="B34" s="76"/>
      <c r="C34"/>
      <c r="F34" s="17"/>
      <c r="G34" s="17"/>
      <c r="I34" s="18"/>
    </row>
    <row r="35" spans="1:9">
      <c r="A35"/>
      <c r="B35" s="76"/>
      <c r="C35"/>
      <c r="F35" s="17"/>
      <c r="G35" s="17"/>
      <c r="I35" s="18"/>
    </row>
    <row r="36" spans="1:9">
      <c r="A36"/>
      <c r="B36" s="76"/>
      <c r="C36"/>
      <c r="F36" s="17"/>
      <c r="G36" s="17"/>
      <c r="I36" s="18"/>
    </row>
    <row r="37" spans="1:9">
      <c r="A37"/>
      <c r="B37" s="76"/>
      <c r="C37"/>
      <c r="F37" s="17"/>
      <c r="G37" s="17"/>
      <c r="I37" s="18"/>
    </row>
    <row r="38" spans="1:9">
      <c r="A38"/>
      <c r="B38" s="76"/>
      <c r="C38"/>
      <c r="F38" s="17"/>
      <c r="G38" s="17"/>
      <c r="I38" s="18"/>
    </row>
    <row r="39" spans="1:9">
      <c r="A39"/>
      <c r="B39" s="76"/>
      <c r="C39"/>
      <c r="F39" s="17"/>
      <c r="G39" s="17"/>
      <c r="I39" s="18"/>
    </row>
    <row r="40" spans="1:9">
      <c r="A40"/>
      <c r="B40" s="76"/>
      <c r="C40"/>
      <c r="F40" s="17"/>
      <c r="G40" s="17"/>
      <c r="I40" s="18"/>
    </row>
    <row r="41" spans="1:9">
      <c r="A41"/>
      <c r="B41" s="76"/>
      <c r="C41"/>
      <c r="F41" s="17"/>
      <c r="G41" s="17"/>
      <c r="I41" s="18"/>
    </row>
    <row r="42" spans="1:9">
      <c r="A42"/>
      <c r="B42" s="76"/>
      <c r="C42"/>
      <c r="F42" s="17"/>
      <c r="G42" s="17"/>
      <c r="I42" s="18"/>
    </row>
    <row r="43" spans="1:9">
      <c r="A43"/>
      <c r="B43" s="76"/>
      <c r="C43"/>
      <c r="F43" s="17"/>
      <c r="G43" s="17"/>
      <c r="I43" s="18"/>
    </row>
    <row r="44" spans="1:9">
      <c r="A44"/>
      <c r="B44" s="76"/>
      <c r="C44"/>
      <c r="F44" s="17"/>
      <c r="G44" s="17"/>
      <c r="I44" s="18"/>
    </row>
    <row r="45" spans="1:9">
      <c r="A45"/>
      <c r="B45" s="76"/>
      <c r="C45"/>
      <c r="F45" s="17"/>
      <c r="G45" s="17"/>
      <c r="I45" s="18"/>
    </row>
    <row r="46" spans="1:9">
      <c r="A46"/>
      <c r="B46" s="76"/>
      <c r="C46"/>
      <c r="F46" s="17"/>
      <c r="G46" s="17"/>
      <c r="I46" s="18"/>
    </row>
    <row r="47" spans="1:9">
      <c r="A47"/>
      <c r="B47" s="76"/>
      <c r="C47"/>
      <c r="F47" s="17"/>
      <c r="G47" s="17"/>
      <c r="I47" s="18"/>
    </row>
    <row r="48" spans="1:9">
      <c r="A48"/>
      <c r="B48" s="76"/>
      <c r="C48"/>
      <c r="F48" s="17"/>
      <c r="G48" s="17"/>
      <c r="I48" s="18"/>
    </row>
    <row r="49" spans="1:9">
      <c r="A49"/>
      <c r="B49" s="76"/>
      <c r="C49"/>
      <c r="F49" s="17"/>
      <c r="G49" s="17"/>
      <c r="I49" s="18"/>
    </row>
    <row r="50" spans="1:9">
      <c r="A50"/>
      <c r="B50" s="76"/>
      <c r="C50"/>
      <c r="F50" s="17"/>
      <c r="G50" s="17"/>
      <c r="I50" s="18"/>
    </row>
    <row r="51" spans="1:9">
      <c r="A51"/>
      <c r="B51" s="76"/>
      <c r="C51"/>
      <c r="F51" s="17"/>
      <c r="G51" s="17"/>
      <c r="I51" s="18"/>
    </row>
    <row r="52" spans="1:9">
      <c r="A52"/>
      <c r="B52" s="76"/>
      <c r="C52"/>
      <c r="F52" s="17"/>
      <c r="G52" s="17"/>
      <c r="I52" s="18"/>
    </row>
    <row r="53" spans="1:9">
      <c r="A53"/>
      <c r="B53" s="76"/>
      <c r="C53"/>
      <c r="F53" s="17"/>
      <c r="G53" s="17"/>
      <c r="I53" s="18"/>
    </row>
    <row r="54" spans="1:9">
      <c r="A54"/>
      <c r="B54" s="76"/>
      <c r="C54"/>
      <c r="F54" s="17"/>
      <c r="G54" s="17"/>
      <c r="I54" s="18"/>
    </row>
    <row r="55" spans="1:9">
      <c r="A55"/>
      <c r="B55" s="76"/>
      <c r="C55"/>
      <c r="F55" s="17"/>
      <c r="G55" s="17"/>
      <c r="I55" s="18"/>
    </row>
    <row r="56" spans="1:9">
      <c r="A56"/>
      <c r="B56" s="76"/>
      <c r="C56"/>
      <c r="F56" s="17"/>
      <c r="G56" s="17"/>
      <c r="I56" s="18"/>
    </row>
    <row r="57" spans="1:9">
      <c r="A57"/>
      <c r="B57" s="76"/>
      <c r="C57"/>
      <c r="F57" s="17"/>
      <c r="G57" s="17"/>
      <c r="I57" s="18"/>
    </row>
    <row r="58" spans="1:9">
      <c r="A58"/>
      <c r="B58" s="76"/>
      <c r="C58"/>
      <c r="F58" s="17"/>
      <c r="G58" s="17"/>
      <c r="I58" s="18"/>
    </row>
    <row r="59" spans="1:9">
      <c r="A59"/>
      <c r="B59" s="76"/>
      <c r="C59"/>
      <c r="F59" s="17"/>
      <c r="G59" s="17"/>
      <c r="I59" s="18"/>
    </row>
    <row r="60" spans="1:9">
      <c r="A60"/>
      <c r="B60" s="76"/>
      <c r="C60"/>
      <c r="F60" s="17"/>
      <c r="G60" s="17"/>
      <c r="I60" s="18"/>
    </row>
    <row r="61" spans="1:9">
      <c r="A61"/>
      <c r="B61" s="76"/>
      <c r="C61"/>
      <c r="F61" s="17"/>
      <c r="G61" s="17"/>
      <c r="I61" s="18"/>
    </row>
    <row r="62" spans="1:9">
      <c r="A62"/>
      <c r="B62" s="76"/>
      <c r="C62"/>
      <c r="F62" s="17"/>
      <c r="G62" s="17"/>
      <c r="I62" s="18"/>
    </row>
    <row r="63" spans="1:9">
      <c r="A63"/>
      <c r="B63" s="76"/>
      <c r="C63"/>
      <c r="F63" s="17"/>
      <c r="G63" s="17"/>
      <c r="I63" s="18"/>
    </row>
    <row r="64" spans="1:9">
      <c r="A64"/>
      <c r="B64" s="76"/>
      <c r="C64"/>
      <c r="F64" s="17"/>
      <c r="G64" s="17"/>
      <c r="I64" s="18"/>
    </row>
    <row r="65" spans="1:9">
      <c r="A65"/>
      <c r="B65" s="76"/>
      <c r="C65"/>
      <c r="F65" s="17"/>
      <c r="G65" s="17"/>
      <c r="I65" s="18"/>
    </row>
    <row r="66" spans="1:9">
      <c r="A66"/>
      <c r="B66" s="76"/>
      <c r="C66"/>
      <c r="F66" s="17"/>
      <c r="G66" s="17"/>
      <c r="I66" s="18"/>
    </row>
    <row r="67" spans="1:9">
      <c r="A67"/>
      <c r="B67" s="76"/>
      <c r="C67"/>
      <c r="F67" s="17"/>
      <c r="G67" s="17"/>
      <c r="I67" s="18"/>
    </row>
    <row r="68" spans="1:9">
      <c r="A68"/>
      <c r="B68" s="76"/>
      <c r="C68"/>
      <c r="F68" s="17"/>
      <c r="G68" s="17"/>
      <c r="I68" s="18"/>
    </row>
    <row r="69" spans="1:9">
      <c r="A69"/>
      <c r="B69" s="76"/>
      <c r="C69"/>
      <c r="F69" s="17"/>
      <c r="G69" s="17"/>
      <c r="I69" s="18"/>
    </row>
    <row r="70" spans="1:9">
      <c r="A70"/>
      <c r="B70" s="76"/>
      <c r="C70"/>
      <c r="F70" s="17"/>
      <c r="G70" s="17"/>
      <c r="I70" s="18"/>
    </row>
    <row r="71" spans="1:9">
      <c r="A71"/>
      <c r="B71" s="76"/>
      <c r="C71"/>
      <c r="F71" s="17"/>
      <c r="G71" s="17"/>
      <c r="I71" s="18"/>
    </row>
    <row r="72" spans="1:9">
      <c r="A72"/>
      <c r="B72" s="76"/>
      <c r="C72"/>
      <c r="F72" s="17"/>
      <c r="G72" s="17"/>
      <c r="I72" s="18"/>
    </row>
    <row r="73" spans="1:9">
      <c r="A73"/>
      <c r="B73" s="76"/>
      <c r="C73"/>
      <c r="F73" s="17"/>
      <c r="G73" s="17"/>
      <c r="I73" s="18"/>
    </row>
    <row r="74" spans="1:9">
      <c r="A74"/>
      <c r="B74" s="76"/>
      <c r="C74"/>
      <c r="F74" s="17"/>
      <c r="G74" s="17"/>
      <c r="I74" s="18"/>
    </row>
    <row r="75" spans="1:9">
      <c r="A75"/>
      <c r="B75" s="76"/>
      <c r="C75"/>
      <c r="F75" s="17"/>
      <c r="G75" s="17"/>
      <c r="I75" s="18"/>
    </row>
    <row r="76" spans="1:9">
      <c r="A76"/>
      <c r="B76" s="76"/>
      <c r="C76"/>
      <c r="F76" s="17"/>
      <c r="G76" s="17"/>
      <c r="I76" s="18"/>
    </row>
    <row r="77" spans="1:9">
      <c r="A77"/>
      <c r="B77" s="76"/>
      <c r="C77"/>
      <c r="F77" s="17"/>
      <c r="G77" s="17"/>
      <c r="I77" s="18"/>
    </row>
    <row r="78" spans="1:9">
      <c r="A78"/>
      <c r="B78" s="76"/>
      <c r="C78"/>
      <c r="F78" s="17"/>
      <c r="G78" s="17"/>
      <c r="I78" s="18"/>
    </row>
    <row r="79" spans="1:9">
      <c r="A79"/>
      <c r="B79" s="76"/>
      <c r="C79"/>
      <c r="F79" s="17"/>
      <c r="G79" s="17"/>
      <c r="I79" s="18"/>
    </row>
    <row r="80" spans="1:9">
      <c r="A80"/>
      <c r="B80" s="76"/>
      <c r="C80"/>
      <c r="F80" s="17"/>
      <c r="G80" s="17"/>
      <c r="I80" s="18"/>
    </row>
    <row r="81" spans="1:9">
      <c r="A81"/>
      <c r="B81" s="76"/>
      <c r="C81"/>
      <c r="F81" s="17"/>
      <c r="G81" s="17"/>
      <c r="I81" s="18"/>
    </row>
    <row r="82" spans="1:9">
      <c r="A82"/>
      <c r="B82" s="76"/>
      <c r="C82"/>
      <c r="F82" s="17"/>
      <c r="G82" s="17"/>
      <c r="I82" s="18"/>
    </row>
    <row r="83" spans="1:9">
      <c r="A83"/>
      <c r="B83" s="76"/>
      <c r="C83"/>
      <c r="F83" s="17"/>
      <c r="G83" s="17"/>
      <c r="I83" s="18"/>
    </row>
    <row r="84" spans="1:9">
      <c r="A84"/>
      <c r="B84" s="76"/>
      <c r="C84"/>
      <c r="F84" s="17"/>
      <c r="G84" s="17"/>
      <c r="I84" s="18"/>
    </row>
    <row r="85" spans="1:9">
      <c r="A85"/>
      <c r="B85" s="76"/>
      <c r="C85"/>
      <c r="F85" s="17"/>
      <c r="G85" s="17"/>
      <c r="I85" s="18"/>
    </row>
    <row r="86" spans="1:9">
      <c r="A86"/>
      <c r="B86" s="76"/>
      <c r="C86"/>
      <c r="F86" s="17"/>
      <c r="G86" s="17"/>
      <c r="I86" s="18"/>
    </row>
    <row r="87" spans="1:9">
      <c r="A87"/>
      <c r="B87" s="76"/>
      <c r="C87"/>
      <c r="F87" s="17"/>
      <c r="G87" s="17"/>
      <c r="I87" s="18"/>
    </row>
    <row r="88" spans="1:9">
      <c r="A88"/>
      <c r="B88" s="76"/>
      <c r="C88"/>
      <c r="F88" s="17"/>
      <c r="G88" s="17"/>
      <c r="I88" s="18"/>
    </row>
    <row r="89" spans="1:9">
      <c r="A89"/>
      <c r="B89" s="76"/>
      <c r="C89"/>
      <c r="F89" s="17"/>
      <c r="G89" s="17"/>
      <c r="I89" s="18"/>
    </row>
    <row r="90" spans="1:9">
      <c r="A90"/>
      <c r="B90" s="76"/>
      <c r="C90"/>
      <c r="F90" s="17"/>
      <c r="G90" s="17"/>
      <c r="I90" s="18"/>
    </row>
    <row r="91" spans="1:9">
      <c r="A91"/>
      <c r="B91" s="76"/>
      <c r="C91"/>
      <c r="F91" s="17"/>
      <c r="G91" s="17"/>
      <c r="I91" s="18"/>
    </row>
    <row r="92" spans="1:9">
      <c r="A92"/>
      <c r="B92" s="76"/>
      <c r="C92"/>
      <c r="F92" s="17"/>
      <c r="G92" s="17"/>
      <c r="I92" s="18"/>
    </row>
    <row r="93" spans="1:9">
      <c r="A93"/>
      <c r="B93" s="76"/>
      <c r="C93"/>
      <c r="F93" s="17"/>
      <c r="G93" s="17"/>
      <c r="I93" s="18"/>
    </row>
    <row r="94" spans="1:9">
      <c r="A94"/>
      <c r="B94" s="76"/>
      <c r="C94"/>
      <c r="F94" s="17"/>
      <c r="G94" s="17"/>
      <c r="I94" s="18"/>
    </row>
    <row r="95" spans="1:9">
      <c r="A95"/>
      <c r="B95" s="76"/>
      <c r="C95"/>
      <c r="F95" s="17"/>
      <c r="G95" s="17"/>
      <c r="I95" s="18"/>
    </row>
    <row r="96" spans="1:9">
      <c r="A96"/>
      <c r="B96" s="76"/>
      <c r="C96"/>
      <c r="F96" s="17"/>
      <c r="G96" s="17"/>
      <c r="I96" s="18"/>
    </row>
    <row r="97" spans="1:9">
      <c r="A97"/>
      <c r="B97" s="76"/>
      <c r="C97"/>
      <c r="F97" s="17"/>
      <c r="G97" s="17"/>
      <c r="I97" s="18"/>
    </row>
    <row r="98" spans="1:9">
      <c r="A98"/>
      <c r="B98" s="76"/>
      <c r="C98"/>
      <c r="F98" s="17"/>
      <c r="G98" s="17"/>
      <c r="I98" s="18"/>
    </row>
    <row r="99" spans="1:9">
      <c r="A99"/>
      <c r="B99" s="76"/>
      <c r="C99"/>
      <c r="F99" s="17"/>
      <c r="G99" s="17"/>
      <c r="I99" s="18"/>
    </row>
    <row r="100" spans="1:9">
      <c r="A100"/>
      <c r="B100" s="76"/>
      <c r="C100"/>
      <c r="F100" s="17"/>
      <c r="G100" s="17"/>
      <c r="I100" s="18"/>
    </row>
    <row r="101" spans="1:9">
      <c r="A101"/>
      <c r="B101" s="76"/>
      <c r="C101"/>
      <c r="F101" s="17"/>
      <c r="G101" s="17"/>
      <c r="I101" s="18"/>
    </row>
    <row r="102" spans="1:9">
      <c r="A102"/>
      <c r="B102" s="76"/>
      <c r="C102"/>
      <c r="F102" s="17"/>
      <c r="G102" s="17"/>
      <c r="I102" s="18"/>
    </row>
    <row r="103" spans="1:9">
      <c r="A103"/>
      <c r="B103" s="76"/>
      <c r="C103"/>
      <c r="F103" s="17"/>
      <c r="G103" s="17"/>
      <c r="I103" s="18"/>
    </row>
    <row r="104" spans="1:9">
      <c r="A104"/>
      <c r="B104" s="76"/>
      <c r="C104"/>
      <c r="F104" s="17"/>
      <c r="G104" s="17"/>
      <c r="I104" s="18"/>
    </row>
    <row r="105" spans="1:9">
      <c r="A105"/>
      <c r="B105" s="76"/>
      <c r="C105"/>
      <c r="F105" s="17"/>
      <c r="G105" s="17"/>
      <c r="I105" s="18"/>
    </row>
    <row r="106" spans="1:9">
      <c r="A106"/>
      <c r="B106" s="76"/>
      <c r="C106"/>
      <c r="F106" s="17"/>
      <c r="G106" s="17"/>
      <c r="I106" s="18"/>
    </row>
    <row r="107" spans="1:9">
      <c r="A107"/>
      <c r="B107" s="76"/>
      <c r="C107"/>
      <c r="F107" s="17"/>
      <c r="G107" s="17"/>
      <c r="I107" s="18"/>
    </row>
    <row r="108" spans="1:9">
      <c r="A108"/>
      <c r="B108" s="76"/>
      <c r="C108"/>
      <c r="F108" s="17"/>
      <c r="G108" s="17"/>
      <c r="I108" s="18"/>
    </row>
    <row r="109" spans="1:9">
      <c r="A109"/>
      <c r="B109" s="76"/>
      <c r="C109"/>
      <c r="F109" s="17"/>
      <c r="G109" s="17"/>
      <c r="I109" s="18"/>
    </row>
    <row r="110" spans="1:9">
      <c r="A110"/>
      <c r="B110" s="76"/>
      <c r="C110"/>
      <c r="F110" s="17"/>
      <c r="G110" s="17"/>
      <c r="I110" s="18"/>
    </row>
    <row r="111" spans="1:9">
      <c r="A111"/>
      <c r="B111" s="76"/>
      <c r="C111"/>
      <c r="F111" s="17"/>
      <c r="G111" s="17"/>
      <c r="I111" s="18"/>
    </row>
    <row r="112" spans="1:9">
      <c r="A112"/>
      <c r="B112" s="76"/>
      <c r="C112"/>
      <c r="F112" s="17"/>
      <c r="G112" s="17"/>
      <c r="I112" s="18"/>
    </row>
    <row r="113" spans="1:9">
      <c r="A113"/>
      <c r="B113" s="76"/>
      <c r="C113"/>
      <c r="F113" s="17"/>
      <c r="G113" s="17"/>
      <c r="I113" s="18"/>
    </row>
    <row r="114" spans="1:9">
      <c r="A114"/>
      <c r="B114" s="76"/>
      <c r="C114"/>
      <c r="F114" s="17"/>
      <c r="G114" s="17"/>
      <c r="I114" s="18"/>
    </row>
    <row r="115" spans="1:9">
      <c r="A115"/>
      <c r="B115" s="76"/>
      <c r="C115"/>
      <c r="F115" s="17"/>
      <c r="G115" s="17"/>
      <c r="I115" s="18"/>
    </row>
    <row r="116" spans="1:9">
      <c r="A116"/>
      <c r="B116" s="76"/>
      <c r="C116"/>
      <c r="F116" s="17"/>
      <c r="G116" s="17"/>
      <c r="I116" s="18"/>
    </row>
    <row r="117" spans="1:9">
      <c r="A117"/>
      <c r="B117" s="76"/>
      <c r="C117"/>
      <c r="F117" s="17"/>
      <c r="G117" s="17"/>
      <c r="I117" s="18"/>
    </row>
    <row r="118" spans="1:9">
      <c r="A118"/>
      <c r="B118" s="76"/>
      <c r="C118"/>
      <c r="F118" s="17"/>
      <c r="G118" s="17"/>
      <c r="I118" s="18"/>
    </row>
    <row r="119" spans="1:9">
      <c r="A119"/>
      <c r="B119" s="76"/>
      <c r="C119"/>
      <c r="F119" s="17"/>
      <c r="G119" s="17"/>
      <c r="I119" s="18"/>
    </row>
    <row r="120" spans="1:9">
      <c r="A120"/>
      <c r="B120" s="76"/>
      <c r="C120"/>
      <c r="F120" s="17"/>
      <c r="G120" s="17"/>
      <c r="I120" s="18"/>
    </row>
    <row r="121" spans="1:9">
      <c r="A121"/>
      <c r="B121" s="76"/>
      <c r="C121"/>
      <c r="F121" s="17"/>
      <c r="G121" s="17"/>
      <c r="I121" s="18"/>
    </row>
    <row r="122" spans="1:9">
      <c r="A122"/>
      <c r="B122" s="76"/>
      <c r="C122"/>
      <c r="F122" s="17"/>
      <c r="G122" s="17"/>
      <c r="I122" s="18"/>
    </row>
    <row r="123" spans="1:9">
      <c r="A123"/>
      <c r="B123" s="76"/>
      <c r="C123"/>
      <c r="F123" s="17"/>
      <c r="G123" s="17"/>
      <c r="I123" s="18"/>
    </row>
    <row r="124" spans="1:9">
      <c r="A124"/>
      <c r="B124" s="76"/>
      <c r="C124"/>
      <c r="F124" s="17"/>
      <c r="G124" s="17"/>
      <c r="I124" s="18"/>
    </row>
    <row r="125" spans="1:9">
      <c r="A125"/>
      <c r="B125" s="76"/>
      <c r="C125"/>
      <c r="F125" s="17"/>
      <c r="G125" s="17"/>
      <c r="I125" s="18"/>
    </row>
    <row r="126" spans="1:9">
      <c r="A126"/>
      <c r="B126" s="76"/>
      <c r="C126"/>
      <c r="F126" s="17"/>
      <c r="G126" s="17"/>
      <c r="I126" s="18"/>
    </row>
    <row r="127" spans="1:9">
      <c r="A127"/>
      <c r="B127" s="76"/>
      <c r="C127"/>
      <c r="F127" s="17"/>
      <c r="G127" s="17"/>
      <c r="I127" s="18"/>
    </row>
    <row r="128" spans="1:9">
      <c r="A128"/>
      <c r="B128" s="76"/>
      <c r="C128"/>
      <c r="F128" s="17"/>
      <c r="G128" s="17"/>
      <c r="I128" s="18"/>
    </row>
    <row r="129" spans="1:9">
      <c r="A129"/>
      <c r="B129" s="76"/>
      <c r="C129"/>
      <c r="F129" s="17"/>
      <c r="G129" s="17"/>
      <c r="I129" s="18"/>
    </row>
    <row r="130" spans="1:9">
      <c r="A130"/>
      <c r="B130" s="76"/>
      <c r="C130"/>
      <c r="F130" s="17"/>
      <c r="G130" s="17"/>
      <c r="I130" s="18"/>
    </row>
    <row r="131" spans="1:9">
      <c r="A131"/>
      <c r="B131" s="76"/>
      <c r="C131"/>
      <c r="F131" s="17"/>
      <c r="G131" s="17"/>
      <c r="I131" s="18"/>
    </row>
    <row r="132" spans="1:9">
      <c r="A132"/>
      <c r="B132" s="76"/>
      <c r="C132"/>
      <c r="F132" s="17"/>
      <c r="G132" s="17"/>
      <c r="I132" s="18"/>
    </row>
    <row r="133" spans="1:9">
      <c r="A133"/>
      <c r="B133" s="76"/>
      <c r="C133"/>
      <c r="F133" s="17"/>
      <c r="G133" s="17"/>
      <c r="I133" s="18"/>
    </row>
    <row r="134" spans="1:9">
      <c r="A134"/>
      <c r="B134" s="76"/>
      <c r="C134"/>
      <c r="F134" s="17"/>
      <c r="G134" s="17"/>
      <c r="I134" s="18"/>
    </row>
    <row r="135" spans="1:9">
      <c r="A135"/>
      <c r="B135" s="76"/>
      <c r="C135"/>
      <c r="F135" s="17"/>
      <c r="G135" s="17"/>
      <c r="I135" s="18"/>
    </row>
  </sheetData>
  <sheetProtection selectLockedCells="1" selectUnlockedCells="1"/>
  <mergeCells count="2">
    <mergeCell ref="A8:I8"/>
    <mergeCell ref="G20:H21"/>
  </mergeCells>
  <pageMargins left="0.75" right="0.75" top="1" bottom="1" header="0.51180555555555551" footer="0.51180555555555551"/>
  <pageSetup firstPageNumber="0" orientation="landscape" horizontalDpi="300" verticalDpi="30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4"/>
  <sheetViews>
    <sheetView tabSelected="1" zoomScale="98" zoomScaleNormal="98" workbookViewId="0">
      <pane ySplit="8" topLeftCell="A9" activePane="bottomLeft" state="frozen"/>
      <selection pane="bottomLeft" activeCell="E23" sqref="E23"/>
    </sheetView>
  </sheetViews>
  <sheetFormatPr baseColWidth="10" defaultColWidth="9.140625" defaultRowHeight="12.75"/>
  <cols>
    <col min="1" max="1" width="6.140625" style="4" customWidth="1"/>
    <col min="2" max="2" width="22.85546875" style="4" bestFit="1" customWidth="1"/>
    <col min="3" max="3" width="41.85546875" style="4" bestFit="1" customWidth="1"/>
    <col min="4" max="4" width="74" style="26" customWidth="1"/>
    <col min="5" max="5" width="22.5703125" style="26" customWidth="1"/>
    <col min="6" max="6" width="27.42578125" style="4" bestFit="1" customWidth="1"/>
    <col min="7" max="7" width="14" style="4" bestFit="1" customWidth="1"/>
    <col min="8" max="8" width="40.28515625" style="4" customWidth="1"/>
    <col min="9" max="9" width="13.140625" style="4" customWidth="1"/>
    <col min="10" max="10" width="46.42578125" style="4" customWidth="1"/>
  </cols>
  <sheetData>
    <row r="1" spans="1:10">
      <c r="A1" s="5"/>
      <c r="B1" s="6"/>
      <c r="C1" s="6"/>
      <c r="D1" s="20"/>
      <c r="E1" s="20"/>
      <c r="F1" s="7"/>
      <c r="G1" s="7"/>
      <c r="H1" s="7"/>
      <c r="I1" s="8"/>
      <c r="J1" s="3"/>
    </row>
    <row r="2" spans="1:10" ht="21.75">
      <c r="A2" s="19" t="s">
        <v>64</v>
      </c>
      <c r="B2" s="37"/>
      <c r="C2" s="9"/>
      <c r="D2" s="21"/>
      <c r="E2" s="22"/>
      <c r="F2" s="1"/>
      <c r="G2" s="1"/>
      <c r="H2" s="1"/>
      <c r="I2" s="2"/>
      <c r="J2" s="88"/>
    </row>
    <row r="3" spans="1:10">
      <c r="A3" s="10"/>
      <c r="B3" s="11"/>
      <c r="C3" s="11"/>
      <c r="D3" s="23"/>
      <c r="E3" s="22"/>
      <c r="F3" s="3"/>
      <c r="G3" s="3"/>
      <c r="H3" s="3"/>
      <c r="I3" s="12"/>
      <c r="J3" s="89"/>
    </row>
    <row r="4" spans="1:10">
      <c r="A4" s="13" t="s">
        <v>10</v>
      </c>
      <c r="B4" s="14"/>
      <c r="C4" s="14"/>
      <c r="D4" s="38">
        <v>45474</v>
      </c>
      <c r="E4" s="22"/>
      <c r="F4" s="3"/>
      <c r="G4" s="3"/>
      <c r="H4" s="3"/>
      <c r="I4" s="2"/>
      <c r="J4" s="88"/>
    </row>
    <row r="5" spans="1:10">
      <c r="A5" s="13" t="s">
        <v>11</v>
      </c>
      <c r="B5" s="14"/>
      <c r="C5" s="14"/>
      <c r="D5" s="22"/>
      <c r="E5" s="22"/>
      <c r="F5" s="3"/>
      <c r="G5" s="3"/>
      <c r="H5" s="3"/>
      <c r="I5" s="15"/>
      <c r="J5" s="90"/>
    </row>
    <row r="6" spans="1:10" ht="13.5" thickBot="1">
      <c r="A6" s="13" t="s">
        <v>12</v>
      </c>
      <c r="B6" s="14"/>
      <c r="C6" s="14"/>
      <c r="D6" s="23"/>
      <c r="E6" s="22"/>
      <c r="F6" s="3"/>
      <c r="G6" s="3"/>
      <c r="H6" s="3"/>
      <c r="I6" s="16"/>
      <c r="J6" s="91"/>
    </row>
    <row r="7" spans="1:10" s="46" customFormat="1" ht="26.25" thickBot="1">
      <c r="A7" s="68" t="s">
        <v>13</v>
      </c>
      <c r="B7" s="24" t="s">
        <v>14</v>
      </c>
      <c r="C7" s="69" t="s">
        <v>15</v>
      </c>
      <c r="D7" s="24" t="s">
        <v>16</v>
      </c>
      <c r="E7" s="24" t="s">
        <v>17</v>
      </c>
      <c r="F7" s="69" t="s">
        <v>18</v>
      </c>
      <c r="G7" s="69" t="s">
        <v>19</v>
      </c>
      <c r="H7" s="69" t="s">
        <v>20</v>
      </c>
      <c r="I7" s="69" t="s">
        <v>21</v>
      </c>
      <c r="J7" s="92" t="s">
        <v>63</v>
      </c>
    </row>
    <row r="8" spans="1:10" ht="13.5" thickBot="1">
      <c r="A8" s="97"/>
      <c r="B8" s="98"/>
      <c r="C8" s="98"/>
      <c r="D8" s="98"/>
      <c r="E8" s="98"/>
      <c r="F8" s="98"/>
      <c r="G8" s="97"/>
      <c r="H8" s="97"/>
      <c r="I8" s="100"/>
      <c r="J8" s="93"/>
    </row>
    <row r="9" spans="1:10">
      <c r="A9" s="85"/>
      <c r="B9" s="80"/>
      <c r="C9" s="81"/>
      <c r="D9" s="82"/>
      <c r="E9" s="82"/>
      <c r="F9" s="83"/>
      <c r="G9" s="86"/>
      <c r="H9" s="35"/>
      <c r="I9" s="28" t="s">
        <v>27</v>
      </c>
      <c r="J9" s="28"/>
    </row>
    <row r="10" spans="1:10">
      <c r="A10" s="85">
        <v>1</v>
      </c>
      <c r="B10" s="80"/>
      <c r="C10" s="80"/>
      <c r="D10" s="82"/>
      <c r="E10" s="82"/>
      <c r="F10" s="83"/>
      <c r="G10" s="86"/>
      <c r="H10" s="35"/>
      <c r="I10" s="28"/>
      <c r="J10" s="28"/>
    </row>
    <row r="11" spans="1:10">
      <c r="A11" s="85">
        <v>2</v>
      </c>
      <c r="B11" s="80"/>
      <c r="C11" s="80"/>
      <c r="D11" s="82"/>
      <c r="E11" s="82"/>
      <c r="F11" s="83"/>
      <c r="G11" s="86"/>
      <c r="H11" s="35"/>
      <c r="I11" s="28"/>
      <c r="J11" s="28"/>
    </row>
    <row r="12" spans="1:10">
      <c r="A12" s="85">
        <v>3</v>
      </c>
      <c r="B12" s="80"/>
      <c r="C12" s="80"/>
      <c r="D12" s="82"/>
      <c r="E12" s="82"/>
      <c r="F12" s="83"/>
      <c r="G12" s="86"/>
      <c r="H12" s="35"/>
      <c r="I12" s="28"/>
      <c r="J12" s="28"/>
    </row>
    <row r="13" spans="1:10">
      <c r="A13" s="85">
        <v>4</v>
      </c>
      <c r="B13" s="80"/>
      <c r="C13" s="80"/>
      <c r="D13" s="82"/>
      <c r="E13" s="82"/>
      <c r="F13" s="83"/>
      <c r="G13" s="86"/>
      <c r="H13" s="35"/>
      <c r="I13" s="28"/>
      <c r="J13" s="28"/>
    </row>
    <row r="14" spans="1:10">
      <c r="A14" s="85">
        <v>5</v>
      </c>
      <c r="B14" s="80"/>
      <c r="C14" s="80"/>
      <c r="D14" s="82"/>
      <c r="E14" s="82"/>
      <c r="F14" s="83"/>
      <c r="G14" s="86"/>
      <c r="H14" s="35"/>
      <c r="I14" s="28"/>
      <c r="J14" s="28"/>
    </row>
    <row r="15" spans="1:10">
      <c r="A15" s="85">
        <v>6</v>
      </c>
      <c r="B15" s="80"/>
      <c r="C15" s="80"/>
      <c r="D15" s="82"/>
      <c r="E15" s="82"/>
      <c r="F15" s="83"/>
      <c r="G15" s="86"/>
      <c r="H15" s="35"/>
      <c r="I15" s="28"/>
      <c r="J15" s="28"/>
    </row>
    <row r="16" spans="1:10">
      <c r="A16" s="85">
        <v>7</v>
      </c>
      <c r="B16" s="80"/>
      <c r="C16" s="80"/>
      <c r="D16" s="82"/>
      <c r="E16" s="82"/>
      <c r="F16" s="83"/>
      <c r="G16" s="86"/>
      <c r="H16" s="35"/>
      <c r="I16" s="28"/>
      <c r="J16" s="28"/>
    </row>
    <row r="17" spans="1:10">
      <c r="A17" s="85">
        <v>8</v>
      </c>
      <c r="B17" s="80"/>
      <c r="C17" s="80"/>
      <c r="D17" s="84"/>
      <c r="E17" s="82"/>
      <c r="F17" s="83"/>
      <c r="G17" s="86"/>
      <c r="H17" s="35"/>
      <c r="I17" s="28"/>
      <c r="J17" s="28"/>
    </row>
    <row r="18" spans="1:10">
      <c r="A18" s="85">
        <v>9</v>
      </c>
      <c r="B18" s="80"/>
      <c r="C18" s="80"/>
      <c r="D18" s="84"/>
      <c r="E18" s="82"/>
      <c r="F18" s="83"/>
      <c r="G18" s="86"/>
      <c r="H18" s="35"/>
      <c r="I18" s="28"/>
      <c r="J18" s="28"/>
    </row>
    <row r="19" spans="1:10">
      <c r="A19" s="85">
        <v>10</v>
      </c>
      <c r="B19" s="80"/>
      <c r="C19" s="80"/>
      <c r="D19" s="84"/>
      <c r="E19" s="82"/>
      <c r="F19" s="83"/>
      <c r="G19" s="86"/>
      <c r="H19" s="35"/>
      <c r="I19" s="28"/>
      <c r="J19" s="28"/>
    </row>
    <row r="20" spans="1:10">
      <c r="A20" s="85">
        <v>11</v>
      </c>
      <c r="B20" s="80"/>
      <c r="C20" s="80"/>
      <c r="D20" s="84"/>
      <c r="E20" s="82"/>
      <c r="F20" s="83"/>
      <c r="G20" s="86"/>
      <c r="H20" s="35"/>
      <c r="I20" s="28"/>
      <c r="J20" s="28"/>
    </row>
    <row r="21" spans="1:10">
      <c r="A21" s="85">
        <v>12</v>
      </c>
      <c r="B21" s="80"/>
      <c r="C21" s="80"/>
      <c r="D21" s="84"/>
      <c r="E21" s="82"/>
      <c r="F21" s="83"/>
      <c r="G21" s="86"/>
      <c r="H21" s="35"/>
      <c r="I21" s="28"/>
      <c r="J21" s="28"/>
    </row>
    <row r="22" spans="1:10">
      <c r="A22" s="85"/>
      <c r="B22" s="80"/>
      <c r="C22" s="81"/>
      <c r="D22" s="84"/>
      <c r="E22" s="82"/>
      <c r="F22" s="83"/>
      <c r="G22" s="86"/>
      <c r="H22" s="35"/>
      <c r="I22" s="28"/>
      <c r="J22" s="28"/>
    </row>
    <row r="23" spans="1:10">
      <c r="A23" s="85"/>
      <c r="B23" s="80"/>
      <c r="C23" s="81"/>
      <c r="D23" s="84"/>
      <c r="E23" s="82"/>
      <c r="F23" s="83"/>
      <c r="G23" s="86"/>
      <c r="H23" s="35"/>
      <c r="I23" s="28"/>
      <c r="J23" s="28"/>
    </row>
    <row r="24" spans="1:10">
      <c r="A24" s="85"/>
      <c r="B24" s="80"/>
      <c r="C24" s="81"/>
      <c r="D24" s="84"/>
      <c r="E24" s="82"/>
      <c r="F24" s="83"/>
      <c r="G24" s="86"/>
      <c r="H24" s="35"/>
      <c r="I24" s="28"/>
      <c r="J24" s="28"/>
    </row>
    <row r="25" spans="1:10">
      <c r="A25" s="85"/>
      <c r="B25" s="79"/>
      <c r="C25" s="29"/>
      <c r="D25" s="31"/>
      <c r="E25" s="31"/>
      <c r="F25" s="87"/>
      <c r="G25" s="34"/>
      <c r="H25" s="35"/>
      <c r="I25" s="28"/>
      <c r="J25" s="28"/>
    </row>
    <row r="26" spans="1:10">
      <c r="A26" s="85"/>
      <c r="B26" s="79"/>
      <c r="C26" s="29"/>
      <c r="D26" s="31"/>
      <c r="E26" s="31"/>
      <c r="F26" s="33"/>
      <c r="G26" s="34"/>
      <c r="H26" s="35"/>
      <c r="I26" s="28"/>
      <c r="J26" s="28"/>
    </row>
    <row r="27" spans="1:10">
      <c r="A27" s="85"/>
      <c r="B27" s="79"/>
      <c r="C27" s="29"/>
      <c r="D27" s="31"/>
      <c r="E27" s="31"/>
      <c r="F27" s="33"/>
      <c r="G27" s="34"/>
      <c r="H27" s="35"/>
      <c r="I27" s="28"/>
      <c r="J27" s="28"/>
    </row>
    <row r="28" spans="1:10">
      <c r="A28" s="85"/>
      <c r="B28" s="79"/>
      <c r="C28" s="29"/>
      <c r="D28" s="31"/>
      <c r="E28" s="31"/>
      <c r="F28" s="33"/>
      <c r="G28" s="34"/>
      <c r="H28" s="35"/>
      <c r="I28" s="28"/>
      <c r="J28" s="28"/>
    </row>
    <row r="29" spans="1:10">
      <c r="A29" s="85"/>
      <c r="B29" s="79"/>
      <c r="C29" s="29"/>
      <c r="D29" s="31"/>
      <c r="E29" s="31"/>
      <c r="F29" s="33"/>
      <c r="G29" s="34"/>
      <c r="H29" s="35"/>
      <c r="I29" s="28"/>
      <c r="J29" s="28"/>
    </row>
    <row r="30" spans="1:10">
      <c r="A30"/>
      <c r="B30"/>
      <c r="C30"/>
      <c r="F30" s="17"/>
      <c r="G30" s="17"/>
      <c r="I30" s="18"/>
      <c r="J30" s="18"/>
    </row>
    <row r="31" spans="1:10">
      <c r="A31"/>
      <c r="B31"/>
      <c r="C31"/>
      <c r="F31" s="17"/>
      <c r="G31" s="17"/>
      <c r="I31" s="18"/>
      <c r="J31" s="18"/>
    </row>
    <row r="32" spans="1:10">
      <c r="A32"/>
      <c r="B32"/>
      <c r="C32"/>
      <c r="F32" s="17"/>
      <c r="G32" s="17"/>
      <c r="I32" s="18"/>
      <c r="J32" s="18"/>
    </row>
    <row r="33" spans="1:10">
      <c r="A33"/>
      <c r="B33"/>
      <c r="C33"/>
      <c r="F33" s="17"/>
      <c r="G33" s="17"/>
      <c r="I33" s="18"/>
      <c r="J33" s="18"/>
    </row>
    <row r="34" spans="1:10">
      <c r="A34"/>
      <c r="B34"/>
      <c r="C34"/>
      <c r="F34" s="17"/>
      <c r="G34" s="17"/>
      <c r="I34" s="18"/>
      <c r="J34" s="18"/>
    </row>
    <row r="35" spans="1:10">
      <c r="A35"/>
      <c r="B35"/>
      <c r="C35"/>
      <c r="F35" s="17"/>
      <c r="G35" s="17"/>
      <c r="I35" s="18"/>
      <c r="J35" s="18"/>
    </row>
    <row r="36" spans="1:10">
      <c r="A36"/>
      <c r="B36"/>
      <c r="C36"/>
      <c r="F36" s="17"/>
      <c r="G36" s="17"/>
      <c r="I36" s="18"/>
      <c r="J36" s="18"/>
    </row>
    <row r="37" spans="1:10">
      <c r="A37"/>
      <c r="B37"/>
      <c r="C37"/>
      <c r="F37" s="17"/>
      <c r="G37" s="17"/>
      <c r="I37" s="18"/>
      <c r="J37" s="18"/>
    </row>
    <row r="38" spans="1:10">
      <c r="A38"/>
      <c r="B38"/>
      <c r="C38"/>
      <c r="F38" s="17"/>
      <c r="G38" s="17"/>
      <c r="I38" s="18"/>
      <c r="J38" s="18"/>
    </row>
    <row r="39" spans="1:10">
      <c r="A39"/>
      <c r="B39"/>
      <c r="C39"/>
      <c r="F39" s="17"/>
      <c r="G39" s="17"/>
      <c r="I39" s="18"/>
      <c r="J39" s="18"/>
    </row>
    <row r="40" spans="1:10">
      <c r="A40"/>
      <c r="B40"/>
      <c r="C40"/>
      <c r="F40" s="17"/>
      <c r="G40" s="17"/>
      <c r="I40" s="18"/>
      <c r="J40" s="18"/>
    </row>
    <row r="41" spans="1:10">
      <c r="A41"/>
      <c r="B41"/>
      <c r="C41"/>
      <c r="F41" s="17"/>
      <c r="G41" s="17"/>
      <c r="I41" s="18"/>
      <c r="J41" s="18"/>
    </row>
    <row r="42" spans="1:10">
      <c r="A42"/>
      <c r="B42"/>
      <c r="C42"/>
      <c r="F42" s="17"/>
      <c r="G42" s="17"/>
      <c r="I42" s="18"/>
      <c r="J42" s="18"/>
    </row>
    <row r="43" spans="1:10">
      <c r="A43"/>
      <c r="B43"/>
      <c r="C43"/>
      <c r="F43" s="17"/>
      <c r="G43" s="17"/>
      <c r="I43" s="18"/>
      <c r="J43" s="18"/>
    </row>
    <row r="44" spans="1:10">
      <c r="A44"/>
      <c r="B44"/>
      <c r="C44"/>
      <c r="F44" s="17"/>
      <c r="G44" s="17"/>
      <c r="I44" s="18"/>
      <c r="J44" s="18"/>
    </row>
  </sheetData>
  <sheetProtection selectLockedCells="1" selectUnlockedCells="1"/>
  <autoFilter ref="A9:I9" xr:uid="{00000000-0001-0000-0200-000000000000}"/>
  <mergeCells count="1">
    <mergeCell ref="A8:I8"/>
  </mergeCells>
  <pageMargins left="0.75" right="0.75" top="1" bottom="1" header="0.51180555555555551" footer="0.51180555555555551"/>
  <pageSetup firstPageNumber="0" orientation="landscape" horizontalDpi="300" verticalDpi="300"/>
  <headerFooter alignWithMargins="0"/>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e403afff2dee9e2f4a1e7231ad52c7e1">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f253f7b8da44b22efbb9ef732ef0233"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5E68D281-6A52-4878-A9F4-9D0E66C8E4AE}"/>
</file>

<file path=customXml/itemProps2.xml><?xml version="1.0" encoding="utf-8"?>
<ds:datastoreItem xmlns:ds="http://schemas.openxmlformats.org/officeDocument/2006/customXml" ds:itemID="{F8AAC135-A098-472E-AB7B-1D1BFA159759}"/>
</file>

<file path=customXml/itemProps3.xml><?xml version="1.0" encoding="utf-8"?>
<ds:datastoreItem xmlns:ds="http://schemas.openxmlformats.org/officeDocument/2006/customXml" ds:itemID="{5263D0F9-C774-4D96-8CF5-7DDEA2202B1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Control de Casos Prueba A.Nivel</vt:lpstr>
      <vt:lpstr>Ejemplo</vt:lpstr>
      <vt:lpstr>Matriz de Pruebas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Edgar Rojas Flores</dc:creator>
  <cp:keywords/>
  <dc:description/>
  <cp:lastModifiedBy>Edgar Rojas Flores</cp:lastModifiedBy>
  <cp:revision/>
  <dcterms:created xsi:type="dcterms:W3CDTF">2023-10-24T14:35:10Z</dcterms:created>
  <dcterms:modified xsi:type="dcterms:W3CDTF">2024-09-03T04:49:08Z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ies>
</file>