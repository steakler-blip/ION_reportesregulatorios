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Generador" sheetId="2" state="visible" r:id="rId4"/>
    <sheet name="Cotizaciones" sheetId="3" state="visible" r:id="rId5"/>
    <sheet name="Clientes" sheetId="4" state="visible" r:id="rId6"/>
    <sheet name="Servicios" sheetId="5" state="visible" r:id="rId7"/>
    <sheet name="Config" sheetId="6" state="visible" r:id="rId8"/>
    <sheet name="Listas" sheetId="7" state="hidden" r:id="rId9"/>
  </sheets>
  <definedNames>
    <definedName function="false" hidden="false" localSheetId="1" name="_xlnm.Print_Area" vbProcedure="false">Generador!$A$1:$G$47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<sst xmlns="http://schemas.openxmlformats.org/spreadsheetml/2006/main" count="265" uniqueCount="193">
  <si>
    <t xml:space="preserve">SISTEMA DE COTIZACIONES Y CONTROL DE CLIENTES</t>
  </si>
  <si>
    <t xml:space="preserve">Ing. César Gutiérrez Francisco · Persona Física con Actividad Empresarial</t>
  </si>
  <si>
    <t xml:space="preserve">RESUMEN</t>
  </si>
  <si>
    <t xml:space="preserve">Cotizaciones registradas</t>
  </si>
  <si>
    <t xml:space="preserve">Monto total cotizado</t>
  </si>
  <si>
    <t xml:space="preserve">Cotizaciones aceptadas</t>
  </si>
  <si>
    <t xml:space="preserve">Monto aceptado</t>
  </si>
  <si>
    <t xml:space="preserve">Enviadas (pendientes)</t>
  </si>
  <si>
    <t xml:space="preserve">Tasa de conversión</t>
  </si>
  <si>
    <t xml:space="preserve">CÓMO USAR</t>
  </si>
  <si>
    <t xml:space="preserve">1. Config: pon tus datos, datos bancarios y revisa las tasas fiscales (una sola vez).</t>
  </si>
  <si>
    <t xml:space="preserve">2. Clientes: registra cada cliente y elige su Tratamiento fiscal (PF, empresa, honorarios o RESICO).</t>
  </si>
  <si>
    <t xml:space="preserve">3. Servicios: guarda tus servicios y precios para reutilizarlos.</t>
  </si>
  <si>
    <t xml:space="preserve">4. Generador: elige el cliente, captura los conceptos y la hoja calcula impuestos y total. Expórtala a PDF y envíala.</t>
  </si>
  <si>
    <t xml:space="preserve">5. Cotizaciones: copia el resumen (al pie del Generador) para llevar el control de todo.</t>
  </si>
  <si>
    <t xml:space="preserve">Nota fiscal: el sistema distingue lo FACTURADO (CFDI) de lo que RECIBES en el banco (neto de retenciones). No es asesoría fiscal; valida tu régimen y retenciones con tu contador.</t>
  </si>
  <si>
    <t xml:space="preserve">CG</t>
  </si>
  <si>
    <t xml:space="preserve">Servicios Profesionales de TI</t>
  </si>
  <si>
    <t xml:space="preserve">COTIZACIÓN</t>
  </si>
  <si>
    <t xml:space="preserve">FOLIO</t>
  </si>
  <si>
    <t xml:space="preserve">FECHA</t>
  </si>
  <si>
    <t xml:space="preserve">VIGENCIA (días)</t>
  </si>
  <si>
    <t xml:space="preserve">VENCE</t>
  </si>
  <si>
    <t xml:space="preserve">DATOS DEL CLIENTE</t>
  </si>
  <si>
    <t xml:space="preserve">Cliente</t>
  </si>
  <si>
    <t xml:space="preserve">DISH México</t>
  </si>
  <si>
    <t xml:space="preserve">RFC</t>
  </si>
  <si>
    <t xml:space="preserve">Tipo</t>
  </si>
  <si>
    <t xml:space="preserve">Contacto</t>
  </si>
  <si>
    <t xml:space="preserve">Teléfono</t>
  </si>
  <si>
    <t xml:space="preserve">Correo</t>
  </si>
  <si>
    <t xml:space="preserve">DESCRIPCIÓN</t>
  </si>
  <si>
    <t xml:space="preserve">UNIDAD</t>
  </si>
  <si>
    <t xml:space="preserve">CANT.</t>
  </si>
  <si>
    <t xml:space="preserve">P. UNITARIO</t>
  </si>
  <si>
    <t xml:space="preserve">IMPORTE</t>
  </si>
  <si>
    <t xml:space="preserve">Menú IVR principal + corrección de versiones + estandarización de certificados</t>
  </si>
  <si>
    <t xml:space="preserve">Servicio</t>
  </si>
  <si>
    <t xml:space="preserve">Tratamiento fiscal aplicado</t>
  </si>
  <si>
    <t xml:space="preserve">Cliente PM - Servicios Profesionales</t>
  </si>
  <si>
    <t xml:space="preserve">Subtotal</t>
  </si>
  <si>
    <t xml:space="preserve">IVA</t>
  </si>
  <si>
    <t xml:space="preserve">IVA ret. % (si Personalizado)</t>
  </si>
  <si>
    <t xml:space="preserve">(-) IVA retenido</t>
  </si>
  <si>
    <t xml:space="preserve">ISR ret. % (si Personalizado)</t>
  </si>
  <si>
    <t xml:space="preserve">(-) ISR retenido</t>
  </si>
  <si>
    <t xml:space="preserve">TOTAL FACTURADO (CFDI)</t>
  </si>
  <si>
    <t xml:space="preserve">TOTAL A RECIBIR</t>
  </si>
  <si>
    <t xml:space="preserve">CONDICIONES COMERCIALES</t>
  </si>
  <si>
    <t xml:space="preserve">"• Precios expresados en pesos mexicanos (MXN)."</t>
  </si>
  <si>
    <t xml:space="preserve">"• Forma de pago: 50% al inicio y 50% contra entrega, salvo acuerdo distinto."</t>
  </si>
  <si>
    <t xml:space="preserve">"• Garantía de 30 días naturales sobre los servicios entregados."</t>
  </si>
  <si>
    <t xml:space="preserve">"• Cualquier cambio no considerado en esta cotización se cotiza por separado."</t>
  </si>
  <si>
    <t xml:space="preserve">_______________________________</t>
  </si>
  <si>
    <t xml:space="preserve">Aceptación del cliente</t>
  </si>
  <si>
    <t xml:space="preserve">El Prestador</t>
  </si>
  <si>
    <t xml:space="preserve">Nombre y firma</t>
  </si>
  <si>
    <t xml:space="preserve">▼ RESUMEN PARA COPIAR A LA HOJA 'Cotizaciones' (selecciona B:P de la fila siguiente, copia y pega como valores)</t>
  </si>
  <si>
    <t xml:space="preserve">Folio</t>
  </si>
  <si>
    <t xml:space="preserve">Fecha</t>
  </si>
  <si>
    <t xml:space="preserve">Tratamiento</t>
  </si>
  <si>
    <t xml:space="preserve">Concepto</t>
  </si>
  <si>
    <t xml:space="preserve">IVA Ret</t>
  </si>
  <si>
    <t xml:space="preserve">ISR Ret</t>
  </si>
  <si>
    <t xml:space="preserve">Total Fact</t>
  </si>
  <si>
    <t xml:space="preserve">Total Recib</t>
  </si>
  <si>
    <t xml:space="preserve">Vig</t>
  </si>
  <si>
    <t xml:space="preserve">Vence</t>
  </si>
  <si>
    <t xml:space="preserve">Estatus</t>
  </si>
  <si>
    <t xml:space="preserve">Notas</t>
  </si>
  <si>
    <t xml:space="preserve">Borrador</t>
  </si>
  <si>
    <t xml:space="preserve">Tratamiento fiscal</t>
  </si>
  <si>
    <t xml:space="preserve">IVA Ret.</t>
  </si>
  <si>
    <t xml:space="preserve">ISR Ret.</t>
  </si>
  <si>
    <t xml:space="preserve">Total Facturado</t>
  </si>
  <si>
    <t xml:space="preserve">Total a Recibir</t>
  </si>
  <si>
    <t xml:space="preserve">Vig. (días)</t>
  </si>
  <si>
    <t xml:space="preserve">GUFC-DIS202601</t>
  </si>
  <si>
    <t xml:space="preserve">PM</t>
  </si>
  <si>
    <t xml:space="preserve">Enviada</t>
  </si>
  <si>
    <t xml:space="preserve">PF→PM corregido (con retenciones). Facturado igual; cambia lo que recibes.</t>
  </si>
  <si>
    <t xml:space="preserve">GECO-3411</t>
  </si>
  <si>
    <t xml:space="preserve">CNAT / DISH</t>
  </si>
  <si>
    <t xml:space="preserve">Modificaciones IVR On Internet: clasificación inalámbrico/alámbrico/satelital</t>
  </si>
  <si>
    <t xml:space="preserve">Aceptada</t>
  </si>
  <si>
    <t xml:space="preserve">PF→PM corregido (con retenciones).</t>
  </si>
  <si>
    <t xml:space="preserve">GUFC-TP202602</t>
  </si>
  <si>
    <t xml:space="preserve">Teleperformance</t>
  </si>
  <si>
    <t xml:space="preserve">Reinstalación de CMS primario (Avaya) considerando el CMS secundario: instalación de 1 instancia de CMS, migración y sincronización (62 h)</t>
  </si>
  <si>
    <t xml:space="preserve">PF→PM. Recreada como cotización propia (origen: formato Comunicación Artificial).</t>
  </si>
  <si>
    <t xml:space="preserve">Clave</t>
  </si>
  <si>
    <t xml:space="preserve">Nombre / Razón Social</t>
  </si>
  <si>
    <t xml:space="preserve">Régimen fiscal</t>
  </si>
  <si>
    <t xml:space="preserve">Domicilio</t>
  </si>
  <si>
    <t xml:space="preserve">CLI-001</t>
  </si>
  <si>
    <t xml:space="preserve">Régimen General</t>
  </si>
  <si>
    <t xml:space="preserve">Carlos Robles</t>
  </si>
  <si>
    <t xml:space="preserve">carlos.robles@dish.com.mx</t>
  </si>
  <si>
    <t xml:space="preserve">Cliente actual IVR</t>
  </si>
  <si>
    <t xml:space="preserve">CLI-002</t>
  </si>
  <si>
    <t xml:space="preserve">CNAT, S. de R.L. de C.V.</t>
  </si>
  <si>
    <t xml:space="preserve">Lic. Carlos A. Cárdenas Castro</t>
  </si>
  <si>
    <t xml:space="preserve">Contratante anexos IVR</t>
  </si>
  <si>
    <t xml:space="preserve">CLI-003</t>
  </si>
  <si>
    <t xml:space="preserve">Hispanic Teleservices de Guadalajara, S.A. de C.V.</t>
  </si>
  <si>
    <t xml:space="preserve">HTG050509RJ5</t>
  </si>
  <si>
    <t xml:space="preserve">Lic. Manuel Laborde Aguirre</t>
  </si>
  <si>
    <t xml:space="preserve">Periférico Pte. M. Gómez Morín 7651-A, Zapopan, Jal., C.P. 45012</t>
  </si>
  <si>
    <t xml:space="preserve">Contrato marco 2019</t>
  </si>
  <si>
    <t xml:space="preserve">CLI-004</t>
  </si>
  <si>
    <t xml:space="preserve">(Ejemplo) Cliente Persona Física</t>
  </si>
  <si>
    <t xml:space="preserve">PF</t>
  </si>
  <si>
    <t xml:space="preserve">RESICO PF</t>
  </si>
  <si>
    <t xml:space="preserve">Cliente PF (Persona Física)</t>
  </si>
  <si>
    <t xml:space="preserve">Borrar / editar</t>
  </si>
  <si>
    <t xml:space="preserve">CLI-005</t>
  </si>
  <si>
    <t xml:space="preserve">Ing. Sergio Cobos Herrera</t>
  </si>
  <si>
    <t xml:space="preserve">(+52) 813-405-8709</t>
  </si>
  <si>
    <t xml:space="preserve">Monterrey, NL, México</t>
  </si>
  <si>
    <t xml:space="preserve">Reinstalación CMS Avaya</t>
  </si>
  <si>
    <t xml:space="preserve">Descripción</t>
  </si>
  <si>
    <t xml:space="preserve">Unidad</t>
  </si>
  <si>
    <t xml:space="preserve">Precio Unitario</t>
  </si>
  <si>
    <t xml:space="preserve">SRV-001</t>
  </si>
  <si>
    <t xml:space="preserve">Hora de desarrollo / programación</t>
  </si>
  <si>
    <t xml:space="preserve">Hora</t>
  </si>
  <si>
    <t xml:space="preserve">Tarifa base histórica</t>
  </si>
  <si>
    <t xml:space="preserve">SRV-002</t>
  </si>
  <si>
    <t xml:space="preserve">Análisis de requerimientos</t>
  </si>
  <si>
    <t xml:space="preserve">SRV-003</t>
  </si>
  <si>
    <t xml:space="preserve">Pruebas / corrección</t>
  </si>
  <si>
    <t xml:space="preserve">SRV-004</t>
  </si>
  <si>
    <t xml:space="preserve">Configuración productiva</t>
  </si>
  <si>
    <t xml:space="preserve">SRV-005</t>
  </si>
  <si>
    <t xml:space="preserve">Documentación / memoria técnica</t>
  </si>
  <si>
    <t xml:space="preserve">SRV-006</t>
  </si>
  <si>
    <t xml:space="preserve">Agregar menú en IVR + configuración</t>
  </si>
  <si>
    <t xml:space="preserve">Cotización GUFC-DIS</t>
  </si>
  <si>
    <t xml:space="preserve">SRV-007</t>
  </si>
  <si>
    <t xml:space="preserve">Menú IVR + corrección de versiones + estandarización de certificados</t>
  </si>
  <si>
    <t xml:space="preserve">Cotización actual</t>
  </si>
  <si>
    <t xml:space="preserve">SRV-008</t>
  </si>
  <si>
    <t xml:space="preserve">Soporte / mantenimiento mensual</t>
  </si>
  <si>
    <t xml:space="preserve">Mes</t>
  </si>
  <si>
    <t xml:space="preserve">Definir</t>
  </si>
  <si>
    <t xml:space="preserve">SRV-009</t>
  </si>
  <si>
    <t xml:space="preserve">Hora especializada Avaya CMS / System Manager</t>
  </si>
  <si>
    <t xml:space="preserve">Cotización Teleperformance</t>
  </si>
  <si>
    <t xml:space="preserve">CONFIGURACIÓN GENERAL</t>
  </si>
  <si>
    <t xml:space="preserve">1 · DATOS DEL PRESTADOR (aparecen en la cotización)</t>
  </si>
  <si>
    <t xml:space="preserve">Nombre / Razón social</t>
  </si>
  <si>
    <t xml:space="preserve">Ing. César Gutiérrez Francisco</t>
  </si>
  <si>
    <t xml:space="preserve">GUFC880124S88</t>
  </si>
  <si>
    <t xml:space="preserve">Persona Física con Actividad Empresarial</t>
  </si>
  <si>
    <t xml:space="preserve">1ra Privada El Mirador 5, Amp. Nativitas, Xochimilco, CDMX, C.P. 16450</t>
  </si>
  <si>
    <t xml:space="preserve">55 3274 5538 / 55 2962 2655</t>
  </si>
  <si>
    <t xml:space="preserve">cesar.gutierrez@programadoresjava.mx</t>
  </si>
  <si>
    <t xml:space="preserve">Correo 2</t>
  </si>
  <si>
    <t xml:space="preserve">manuel.martinez@programadoresjava.mx</t>
  </si>
  <si>
    <t xml:space="preserve">Lema / Giro</t>
  </si>
  <si>
    <t xml:space="preserve">Servicios Profesionales de Desarrollo e Integración de Sistemas</t>
  </si>
  <si>
    <t xml:space="preserve">2 · PARÁMETROS FISCALES (edítalos si cambia la ley)</t>
  </si>
  <si>
    <t xml:space="preserve">Tasa general</t>
  </si>
  <si>
    <t xml:space="preserve">IVA retenido (Serv. Profesionales)</t>
  </si>
  <si>
    <t xml:space="preserve">2/3 del IVA</t>
  </si>
  <si>
    <t xml:space="preserve">ISR retenido (Serv. Profesionales)</t>
  </si>
  <si>
    <t xml:space="preserve">Honorarios PF→PM</t>
  </si>
  <si>
    <t xml:space="preserve">ISR retenido (RESICO PF)</t>
  </si>
  <si>
    <t xml:space="preserve">PM retiene a RESICO PF</t>
  </si>
  <si>
    <t xml:space="preserve">3 · DATOS BANCARIOS (para la cotización)</t>
  </si>
  <si>
    <t xml:space="preserve">Banco</t>
  </si>
  <si>
    <t xml:space="preserve">BBVA Bancomer</t>
  </si>
  <si>
    <t xml:space="preserve">Beneficiario</t>
  </si>
  <si>
    <t xml:space="preserve">César Gutiérrez Francisco</t>
  </si>
  <si>
    <t xml:space="preserve">No. de cuenta</t>
  </si>
  <si>
    <t xml:space="preserve">1568791856</t>
  </si>
  <si>
    <t xml:space="preserve">CLABE</t>
  </si>
  <si>
    <t xml:space="preserve">012180015687918560</t>
  </si>
  <si>
    <t xml:space="preserve">4 · FOLIO</t>
  </si>
  <si>
    <t xml:space="preserve">Prefijo de folio</t>
  </si>
  <si>
    <t xml:space="preserve">GUFC-</t>
  </si>
  <si>
    <t xml:space="preserve">Siguiente consecutivo</t>
  </si>
  <si>
    <t xml:space="preserve">⚠ Aviso: las tasas anteriores son referenciales (vigentes en México). No constituyen asesoría fiscal. Confirma tu régimen y retenciones aplicables con tu contador y ajusta estos parámetros una sola vez; todo el sistema se recalcula solo.</t>
  </si>
  <si>
    <t xml:space="preserve">Cliente PM - Actividad Empresarial</t>
  </si>
  <si>
    <t xml:space="preserve">Día</t>
  </si>
  <si>
    <t xml:space="preserve">Cliente PM - RESICO PF</t>
  </si>
  <si>
    <t xml:space="preserve">Rechazada</t>
  </si>
  <si>
    <t xml:space="preserve">Proyecto</t>
  </si>
  <si>
    <t xml:space="preserve">Personalizado</t>
  </si>
  <si>
    <t xml:space="preserve">Vencida</t>
  </si>
  <si>
    <t xml:space="preserve">Pieza</t>
  </si>
  <si>
    <t xml:space="preserve">Facturada/Pagada</t>
  </si>
  <si>
    <t xml:space="preserve">Licencia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</si>
</sst>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\$#,##0.00"/>
    <numFmt numFmtId="167" formatCode="0.0%"/>
    <numFmt numFmtId="168" formatCode="dd/mm/yyyy"/>
    <numFmt numFmtId="169" formatCode="0.0000%"/>
    <numFmt numFmtId="170" formatCode="\$#,##0.00"/>
    <numFmt numFmtId="171" formatCode="0%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18"/>
      <color rgb="FF0F2E4C"/>
      <name val="Arial"/>
      <family val="0"/>
      <charset val="1"/>
    </font>
    <font>
      <sz val="10"/>
      <color rgb="FF374151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3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DCE7F2"/>
      <name val="Arial"/>
      <family val="0"/>
      <charset val="1"/>
    </font>
    <font>
      <sz val="8"/>
      <color rgb="FFDCE7F2"/>
      <name val="Arial"/>
      <family val="0"/>
      <charset val="1"/>
    </font>
    <font>
      <b val="true"/>
      <sz val="8"/>
      <color rgb="FF6B7280"/>
      <name val="Arial"/>
      <family val="0"/>
      <charset val="1"/>
    </font>
    <font>
      <sz val="8"/>
      <color rgb="FF1A1A1A"/>
      <name val="Arial"/>
      <family val="0"/>
      <charset val="1"/>
    </font>
    <font>
      <b val="true"/>
      <sz val="11"/>
      <color rgb="FF0F2E4C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6B7280"/>
      <name val="Arial"/>
      <family val="0"/>
      <charset val="1"/>
    </font>
    <font>
      <sz val="8"/>
      <color rgb="FF374151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9"/>
      <color rgb="FF0F2E4C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1F5C99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37415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2E4C"/>
        <bgColor rgb="FF1A1A1A"/>
      </patternFill>
    </fill>
    <fill>
      <patternFill patternType="solid">
        <fgColor rgb="FF2E6CA4"/>
        <bgColor rgb="FF1F5C99"/>
      </patternFill>
    </fill>
    <fill>
      <patternFill patternType="solid">
        <fgColor rgb="FF1F5C99"/>
        <bgColor rgb="FF2E6CA4"/>
      </patternFill>
    </fill>
    <fill>
      <patternFill patternType="solid">
        <fgColor rgb="FFDCE7F2"/>
        <bgColor rgb="FFF4F8FC"/>
      </patternFill>
    </fill>
    <fill>
      <patternFill patternType="solid">
        <fgColor rgb="FFF4F8FC"/>
        <bgColor rgb="FFFFFFFF"/>
      </patternFill>
    </fill>
    <fill>
      <patternFill patternType="solid">
        <fgColor rgb="FFFFFFFF"/>
        <bgColor rgb="FFF4F8FC"/>
      </patternFill>
    </fill>
    <fill>
      <patternFill patternType="solid">
        <fgColor rgb="FFFFF8E1"/>
        <bgColor rgb="FFFFF3C4"/>
      </patternFill>
    </fill>
    <fill>
      <patternFill patternType="solid">
        <fgColor rgb="FFFFF3C4"/>
        <bgColor rgb="FFFFF8E1"/>
      </patternFill>
    </fill>
    <fill>
      <patternFill patternType="solid">
        <fgColor rgb="FF6B728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D0DE"/>
      </left>
      <right style="thin">
        <color rgb="FFC3D0DE"/>
      </right>
      <top style="thin">
        <color rgb="FFC3D0DE"/>
      </top>
      <bottom style="thin">
        <color rgb="FFC3D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3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DCE7F2"/>
      <rgbColor rgb="FF660066"/>
      <rgbColor rgb="FFFF8080"/>
      <rgbColor rgb="FF1F5C99"/>
      <rgbColor rgb="FFC3D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C"/>
      <rgbColor rgb="FFCCFFCC"/>
      <rgbColor rgb="FFFFF3C4"/>
      <rgbColor rgb="FF99CCFF"/>
      <rgbColor rgb="FFFF99CC"/>
      <rgbColor rgb="FFCC99FF"/>
      <rgbColor rgb="FFFFCC99"/>
      <rgbColor rgb="FF2E6CA4"/>
      <rgbColor rgb="FF33CCCC"/>
      <rgbColor rgb="FF99CC00"/>
      <rgbColor rgb="FFFFCC00"/>
      <rgbColor rgb="FFFF9900"/>
      <rgbColor rgb="FFFF6600"/>
      <rgbColor rgb="FF6B7280"/>
      <rgbColor rgb="FF969696"/>
      <rgbColor rgb="FF0F2E4C"/>
      <rgbColor rgb="FF339966"/>
      <rgbColor rgb="FF003300"/>
      <rgbColor rgb="FF1A1A1A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4"/>
    <col collapsed="false" customWidth="true" hidden="false" outlineLevel="0" max="5" min="5" style="1" width="30"/>
    <col collapsed="false" customWidth="true" hidden="false" outlineLevel="0" max="6" min="6" style="1" width="22"/>
    <col collapsed="false" customWidth="true" hidden="false" outlineLevel="0" max="7" min="7" style="1" width="3"/>
  </cols>
  <sheetData>
    <row r="2" customFormat="false" ht="33.75" hidden="false" customHeight="true" outlineLevel="0" collapsed="false">
      <c r="B2" s="2" t="s">
        <v>0</v>
      </c>
      <c r="C2" s="2"/>
      <c r="D2" s="2"/>
      <c r="E2" s="2"/>
      <c r="F2" s="2"/>
    </row>
    <row r="3" customFormat="false" ht="19.5" hidden="false" customHeight="true" outlineLevel="0" collapsed="false">
      <c r="B3" s="3" t="s">
        <v>1</v>
      </c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</row>
    <row r="6" customFormat="false" ht="18" hidden="false" customHeight="true" outlineLevel="0" collapsed="false">
      <c r="B6" s="5" t="s">
        <v>3</v>
      </c>
      <c r="C6" s="5"/>
      <c r="E6" s="5" t="s">
        <v>4</v>
      </c>
      <c r="F6" s="5"/>
    </row>
    <row r="7" customFormat="false" ht="30" hidden="false" customHeight="true" outlineLevel="0" collapsed="false">
      <c r="B7" s="6" t="n">
        <f aca="false">COUNTIF(Cotizaciones!$A$2:$A$200,"?*")</f>
        <v>3</v>
      </c>
      <c r="C7" s="6"/>
      <c r="E7" s="7" t="n">
        <f aca="false">SUM(Cotizaciones!$K$2:$K$200)</f>
        <v>108849.76</v>
      </c>
      <c r="F7" s="7"/>
    </row>
    <row r="9" customFormat="false" ht="18" hidden="false" customHeight="true" outlineLevel="0" collapsed="false">
      <c r="B9" s="5" t="s">
        <v>5</v>
      </c>
      <c r="C9" s="5"/>
      <c r="E9" s="5" t="s">
        <v>6</v>
      </c>
      <c r="F9" s="5"/>
    </row>
    <row r="10" customFormat="false" ht="30" hidden="false" customHeight="true" outlineLevel="0" collapsed="false">
      <c r="B10" s="6" t="n">
        <f aca="false">COUNTIF(Cotizaciones!$O$2:$O$200,"Aceptada")</f>
        <v>1</v>
      </c>
      <c r="C10" s="6"/>
      <c r="E10" s="7" t="n">
        <f aca="false">SUMIF(Cotizaciones!$O$2:$O$200,"Aceptada",Cotizaciones!$K$2:$K$200)</f>
        <v>23552.64</v>
      </c>
      <c r="F10" s="7"/>
    </row>
    <row r="12" customFormat="false" ht="18" hidden="false" customHeight="true" outlineLevel="0" collapsed="false">
      <c r="B12" s="5" t="s">
        <v>7</v>
      </c>
      <c r="C12" s="5"/>
      <c r="E12" s="5" t="s">
        <v>8</v>
      </c>
      <c r="F12" s="5"/>
    </row>
    <row r="13" customFormat="false" ht="30" hidden="false" customHeight="true" outlineLevel="0" collapsed="false">
      <c r="B13" s="6" t="n">
        <f aca="false">COUNTIF(Cotizaciones!$O$2:$O$200,"Enviada")</f>
        <v>2</v>
      </c>
      <c r="C13" s="6"/>
      <c r="E13" s="8" t="n">
        <f aca="false">IFERROR(COUNTIF(Cotizaciones!$O$2:$O$200,"Aceptada")/COUNTIF(Cotizaciones!$A$2:$A$200,"?*"),0)</f>
        <v>0.333333333333333</v>
      </c>
      <c r="F13" s="8"/>
    </row>
    <row r="15" customFormat="false" ht="15" hidden="false" customHeight="true" outlineLevel="0" collapsed="false">
      <c r="B15" s="4" t="s">
        <v>9</v>
      </c>
      <c r="C15" s="4"/>
      <c r="D15" s="4"/>
      <c r="E15" s="4"/>
      <c r="F15" s="4"/>
    </row>
    <row r="16" customFormat="false" ht="21.75" hidden="false" customHeight="true" outlineLevel="0" collapsed="false">
      <c r="B16" s="9" t="s">
        <v>10</v>
      </c>
      <c r="C16" s="9"/>
      <c r="D16" s="9"/>
      <c r="E16" s="9"/>
      <c r="F16" s="9"/>
    </row>
    <row r="17" customFormat="false" ht="21.75" hidden="false" customHeight="true" outlineLevel="0" collapsed="false">
      <c r="B17" s="10" t="s">
        <v>11</v>
      </c>
      <c r="C17" s="10"/>
      <c r="D17" s="10"/>
      <c r="E17" s="10"/>
      <c r="F17" s="10"/>
    </row>
    <row r="18" customFormat="false" ht="21.75" hidden="false" customHeight="true" outlineLevel="0" collapsed="false">
      <c r="B18" s="9" t="s">
        <v>12</v>
      </c>
      <c r="C18" s="9"/>
      <c r="D18" s="9"/>
      <c r="E18" s="9"/>
      <c r="F18" s="9"/>
    </row>
    <row r="19" customFormat="false" ht="21.75" hidden="false" customHeight="true" outlineLevel="0" collapsed="false">
      <c r="B19" s="10" t="s">
        <v>13</v>
      </c>
      <c r="C19" s="10"/>
      <c r="D19" s="10"/>
      <c r="E19" s="10"/>
      <c r="F19" s="10"/>
    </row>
    <row r="20" customFormat="false" ht="21.75" hidden="false" customHeight="true" outlineLevel="0" collapsed="false">
      <c r="B20" s="9" t="s">
        <v>14</v>
      </c>
      <c r="C20" s="9"/>
      <c r="D20" s="9"/>
      <c r="E20" s="9"/>
      <c r="F20" s="9"/>
    </row>
    <row r="22" customFormat="false" ht="15" hidden="false" customHeight="true" outlineLevel="0" collapsed="false">
      <c r="B22" s="11" t="s">
        <v>15</v>
      </c>
      <c r="C22" s="11"/>
      <c r="D22" s="11"/>
      <c r="E22" s="11"/>
      <c r="F22" s="11"/>
    </row>
    <row r="23" customFormat="false" ht="15" hidden="false" customHeight="true" outlineLevel="0" collapsed="false">
      <c r="B23" s="11"/>
      <c r="C23" s="11"/>
      <c r="D23" s="11"/>
      <c r="E23" s="11"/>
      <c r="F23" s="11"/>
    </row>
    <row r="24" customFormat="false" ht="15" hidden="false" customHeight="true" outlineLevel="0" collapsed="false">
      <c r="B24" s="11"/>
      <c r="C24" s="11"/>
      <c r="D24" s="11"/>
      <c r="E24" s="11"/>
      <c r="F24" s="11"/>
    </row>
  </sheetData>
  <mergeCells count="22">
    <mergeCell ref="B2:F2"/>
    <mergeCell ref="B3:F3"/>
    <mergeCell ref="B5:F5"/>
    <mergeCell ref="B6:C6"/>
    <mergeCell ref="E6:F6"/>
    <mergeCell ref="B7:C7"/>
    <mergeCell ref="E7:F7"/>
    <mergeCell ref="B9:C9"/>
    <mergeCell ref="E9:F9"/>
    <mergeCell ref="B10:C10"/>
    <mergeCell ref="E10:F10"/>
    <mergeCell ref="B12:C12"/>
    <mergeCell ref="E12:F12"/>
    <mergeCell ref="B13:C13"/>
    <mergeCell ref="E13:F13"/>
    <mergeCell ref="B15:F15"/>
    <mergeCell ref="B16:F16"/>
    <mergeCell ref="B17:F17"/>
    <mergeCell ref="B18:F18"/>
    <mergeCell ref="B19:F19"/>
    <mergeCell ref="B20:F20"/>
    <mergeCell ref="B22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Q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4"/>
    <col collapsed="false" customWidth="true" hidden="false" outlineLevel="0" max="3" min="3" style="1" width="13"/>
    <col collapsed="false" customWidth="true" hidden="false" outlineLevel="0" max="4" min="4" style="1" width="9"/>
    <col collapsed="false" customWidth="true" hidden="false" outlineLevel="0" max="5" min="5" style="1" width="17"/>
    <col collapsed="false" customWidth="true" hidden="false" outlineLevel="0" max="6" min="6" style="1" width="18"/>
    <col collapsed="false" customWidth="true" hidden="false" outlineLevel="0" max="7" min="7" style="1" width="2.5"/>
  </cols>
  <sheetData>
    <row r="1" customFormat="false" ht="18" hidden="false" customHeight="true" outlineLevel="0" collapsed="false">
      <c r="B1" s="12" t="s">
        <v>16</v>
      </c>
      <c r="C1" s="12"/>
      <c r="D1" s="13" t="str">
        <f aca="false">Config!$C$5</f>
        <v>Ing. César Gutiérrez Francisco</v>
      </c>
      <c r="E1" s="13"/>
      <c r="F1" s="13"/>
    </row>
    <row r="2" customFormat="false" ht="18" hidden="false" customHeight="true" outlineLevel="0" collapsed="false">
      <c r="B2" s="12"/>
      <c r="C2" s="12"/>
      <c r="D2" s="14" t="str">
        <f aca="false">"RFC: "&amp;Config!$C$6</f>
        <v>RFC: GUFC880124S88</v>
      </c>
      <c r="E2" s="14"/>
      <c r="F2" s="14"/>
    </row>
    <row r="3" customFormat="false" ht="18" hidden="false" customHeight="true" outlineLevel="0" collapsed="false">
      <c r="B3" s="12"/>
      <c r="C3" s="12"/>
      <c r="D3" s="15" t="str">
        <f aca="false">Config!$C$8</f>
        <v>1ra Privada El Mirador 5, Amp. Nativitas, Xochimilco, CDMX, C.P. 16450</v>
      </c>
      <c r="E3" s="15"/>
      <c r="F3" s="15"/>
    </row>
    <row r="4" customFormat="false" ht="18" hidden="false" customHeight="true" outlineLevel="0" collapsed="false">
      <c r="B4" s="16" t="s">
        <v>17</v>
      </c>
      <c r="C4" s="16"/>
      <c r="D4" s="17" t="str">
        <f aca="false">"Tel: "&amp;Config!$C$9</f>
        <v>Tel: 55 3274 5538 / 55 2962 2655</v>
      </c>
      <c r="E4" s="17"/>
      <c r="F4" s="17"/>
    </row>
    <row r="5" customFormat="false" ht="18" hidden="false" customHeight="true" outlineLevel="0" collapsed="false">
      <c r="B5" s="16"/>
      <c r="C5" s="16"/>
      <c r="D5" s="17" t="str">
        <f aca="false">Config!$C$10</f>
        <v>cesar.gutierrez@programadoresjava.mx</v>
      </c>
      <c r="E5" s="17"/>
      <c r="F5" s="17"/>
    </row>
    <row r="7" customFormat="false" ht="25.5" hidden="false" customHeight="true" outlineLevel="0" collapsed="false">
      <c r="B7" s="18" t="s">
        <v>18</v>
      </c>
      <c r="C7" s="18"/>
      <c r="D7" s="18"/>
      <c r="E7" s="18"/>
      <c r="F7" s="18"/>
    </row>
    <row r="8" customFormat="false" ht="15" hidden="false" customHeight="true" outlineLevel="0" collapsed="false">
      <c r="B8" s="19" t="s">
        <v>19</v>
      </c>
      <c r="C8" s="19" t="s">
        <v>20</v>
      </c>
      <c r="D8" s="20"/>
      <c r="E8" s="19" t="s">
        <v>21</v>
      </c>
      <c r="F8" s="19" t="s">
        <v>22</v>
      </c>
    </row>
    <row r="9" customFormat="false" ht="15" hidden="false" customHeight="true" outlineLevel="0" collapsed="false">
      <c r="B9" s="21" t="str">
        <f aca="false">Config!$C$27&amp;TEXT(Config!$C$28,"0000")</f>
        <v>GUFC-0003</v>
      </c>
      <c r="C9" s="22" t="n">
        <v>46177</v>
      </c>
      <c r="D9" s="23"/>
      <c r="E9" s="24" t="n">
        <v>15</v>
      </c>
      <c r="F9" s="25" t="n">
        <f aca="false">C9+E9</f>
        <v>46192</v>
      </c>
    </row>
    <row r="11" customFormat="false" ht="15" hidden="false" customHeight="true" outlineLevel="0" collapsed="false">
      <c r="B11" s="26" t="s">
        <v>23</v>
      </c>
      <c r="C11" s="26"/>
      <c r="D11" s="26"/>
      <c r="E11" s="26"/>
      <c r="F11" s="26"/>
    </row>
    <row r="12" customFormat="false" ht="15" hidden="false" customHeight="true" outlineLevel="0" collapsed="false">
      <c r="B12" s="27" t="s">
        <v>24</v>
      </c>
      <c r="C12" s="28" t="s">
        <v>25</v>
      </c>
      <c r="D12" s="28"/>
      <c r="E12" s="28"/>
      <c r="F12" s="28"/>
    </row>
    <row r="13" customFormat="false" ht="15" hidden="false" customHeight="true" outlineLevel="0" collapsed="false">
      <c r="B13" s="27" t="s">
        <v>26</v>
      </c>
      <c r="C13" s="29" t="str">
        <f aca="false">IFERROR(IF(INDEX(Clientes!$D$2:$D$200,MATCH($C$12,Clientes!$B$2:$B$200,0))=0,"",INDEX(Clientes!$D$2:$D$200,MATCH($C$12,Clientes!$B$2:$B$200,0))),"")</f>
        <v/>
      </c>
      <c r="D13" s="30"/>
      <c r="E13" s="27" t="s">
        <v>27</v>
      </c>
      <c r="F13" s="31" t="str">
        <f aca="false">IFERROR(IF(INDEX(Clientes!$C$2:$C$200,MATCH($C$12,Clientes!$B$2:$B$200,0))=0,"",INDEX(Clientes!$C$2:$C$200,MATCH($C$12,Clientes!$B$2:$B$200,0))),"")</f>
        <v>PM</v>
      </c>
    </row>
    <row r="14" customFormat="false" ht="15" hidden="false" customHeight="true" outlineLevel="0" collapsed="false">
      <c r="B14" s="27" t="s">
        <v>28</v>
      </c>
      <c r="C14" s="29" t="str">
        <f aca="false">IFERROR(IF(INDEX(Clientes!$G$2:$G$200,MATCH($C$12,Clientes!$B$2:$B$200,0))=0,"",INDEX(Clientes!$G$2:$G$200,MATCH($C$12,Clientes!$B$2:$B$200,0))),"")</f>
        <v>Carlos Robles</v>
      </c>
      <c r="D14" s="30"/>
      <c r="E14" s="27" t="s">
        <v>29</v>
      </c>
      <c r="F14" s="31" t="str">
        <f aca="false">IFERROR(IF(INDEX(Clientes!$I$2:$I$200,MATCH($C$12,Clientes!$B$2:$B$200,0))=0,"",INDEX(Clientes!$I$2:$I$200,MATCH($C$12,Clientes!$B$2:$B$200,0))),"")</f>
        <v/>
      </c>
    </row>
    <row r="15" customFormat="false" ht="15" hidden="false" customHeight="true" outlineLevel="0" collapsed="false">
      <c r="B15" s="27" t="s">
        <v>30</v>
      </c>
      <c r="C15" s="29" t="str">
        <f aca="false">IFERROR(IF(INDEX(Clientes!$H$2:$H$200,MATCH($C$12,Clientes!$B$2:$B$200,0))=0,"",INDEX(Clientes!$H$2:$H$200,MATCH($C$12,Clientes!$B$2:$B$200,0))),"")</f>
        <v>carlos.robles@dish.com.mx</v>
      </c>
      <c r="D15" s="29"/>
      <c r="E15" s="29"/>
      <c r="F15" s="29"/>
    </row>
    <row r="17" customFormat="false" ht="19.5" hidden="false" customHeight="true" outlineLevel="0" collapsed="false">
      <c r="B17" s="32" t="s">
        <v>31</v>
      </c>
      <c r="C17" s="32" t="s">
        <v>32</v>
      </c>
      <c r="D17" s="32" t="s">
        <v>33</v>
      </c>
      <c r="E17" s="32" t="s">
        <v>34</v>
      </c>
      <c r="F17" s="32" t="s">
        <v>35</v>
      </c>
    </row>
    <row r="18" customFormat="false" ht="18" hidden="false" customHeight="true" outlineLevel="0" collapsed="false">
      <c r="B18" s="33" t="s">
        <v>36</v>
      </c>
      <c r="C18" s="34" t="s">
        <v>37</v>
      </c>
      <c r="D18" s="34" t="n">
        <v>1</v>
      </c>
      <c r="E18" s="35" t="n">
        <v>8742</v>
      </c>
      <c r="F18" s="36" t="n">
        <f aca="false">IF(OR($D18="",$E18=""),"",$D18*$E18)</f>
        <v>8742</v>
      </c>
    </row>
    <row r="19" customFormat="false" ht="18" hidden="false" customHeight="true" outlineLevel="0" collapsed="false">
      <c r="B19" s="37"/>
      <c r="C19" s="38"/>
      <c r="D19" s="38"/>
      <c r="E19" s="39"/>
      <c r="F19" s="40" t="str">
        <f aca="false">IF(OR($D19="",$E19=""),"",$D19*$E19)</f>
        <v/>
      </c>
    </row>
    <row r="20" customFormat="false" ht="18" hidden="false" customHeight="true" outlineLevel="0" collapsed="false">
      <c r="B20" s="33"/>
      <c r="C20" s="34"/>
      <c r="D20" s="34"/>
      <c r="E20" s="35"/>
      <c r="F20" s="36" t="str">
        <f aca="false">IF(OR($D20="",$E20=""),"",$D20*$E20)</f>
        <v/>
      </c>
    </row>
    <row r="21" customFormat="false" ht="18" hidden="false" customHeight="true" outlineLevel="0" collapsed="false">
      <c r="B21" s="37"/>
      <c r="C21" s="38"/>
      <c r="D21" s="38"/>
      <c r="E21" s="39"/>
      <c r="F21" s="40" t="str">
        <f aca="false">IF(OR($D21="",$E21=""),"",$D21*$E21)</f>
        <v/>
      </c>
    </row>
    <row r="22" customFormat="false" ht="18" hidden="false" customHeight="true" outlineLevel="0" collapsed="false">
      <c r="B22" s="33"/>
      <c r="C22" s="34"/>
      <c r="D22" s="34"/>
      <c r="E22" s="35"/>
      <c r="F22" s="36" t="str">
        <f aca="false">IF(OR($D22="",$E22=""),"",$D22*$E22)</f>
        <v/>
      </c>
    </row>
    <row r="23" customFormat="false" ht="18" hidden="false" customHeight="true" outlineLevel="0" collapsed="false">
      <c r="B23" s="37"/>
      <c r="C23" s="38"/>
      <c r="D23" s="38"/>
      <c r="E23" s="39"/>
      <c r="F23" s="40" t="str">
        <f aca="false">IF(OR($D23="",$E23=""),"",$D23*$E23)</f>
        <v/>
      </c>
    </row>
    <row r="24" customFormat="false" ht="18" hidden="false" customHeight="true" outlineLevel="0" collapsed="false">
      <c r="B24" s="33"/>
      <c r="C24" s="34"/>
      <c r="D24" s="34"/>
      <c r="E24" s="35"/>
      <c r="F24" s="36" t="str">
        <f aca="false">IF(OR($D24="",$E24=""),"",$D24*$E24)</f>
        <v/>
      </c>
    </row>
    <row r="25" customFormat="false" ht="18" hidden="false" customHeight="true" outlineLevel="0" collapsed="false">
      <c r="B25" s="37"/>
      <c r="C25" s="38"/>
      <c r="D25" s="38"/>
      <c r="E25" s="39"/>
      <c r="F25" s="40" t="str">
        <f aca="false">IF(OR($D25="",$E25=""),"",$D25*$E25)</f>
        <v/>
      </c>
    </row>
    <row r="26" customFormat="false" ht="18" hidden="false" customHeight="true" outlineLevel="0" collapsed="false">
      <c r="B26" s="33"/>
      <c r="C26" s="34"/>
      <c r="D26" s="34"/>
      <c r="E26" s="35"/>
      <c r="F26" s="36" t="str">
        <f aca="false">IF(OR($D26="",$E26=""),"",$D26*$E26)</f>
        <v/>
      </c>
    </row>
    <row r="27" customFormat="false" ht="18" hidden="false" customHeight="true" outlineLevel="0" collapsed="false">
      <c r="B27" s="37"/>
      <c r="C27" s="38"/>
      <c r="D27" s="38"/>
      <c r="E27" s="39"/>
      <c r="F27" s="40" t="str">
        <f aca="false">IF(OR($D27="",$E27=""),"",$D27*$E27)</f>
        <v/>
      </c>
    </row>
    <row r="29" customFormat="false" ht="15" hidden="false" customHeight="true" outlineLevel="0" collapsed="false">
      <c r="B29" s="41" t="s">
        <v>38</v>
      </c>
      <c r="C29" s="42" t="s">
        <v>39</v>
      </c>
      <c r="D29" s="42"/>
      <c r="E29" s="43" t="s">
        <v>40</v>
      </c>
      <c r="F29" s="36" t="n">
        <f aca="false">SUM(F18:F27)</f>
        <v>8742</v>
      </c>
    </row>
    <row r="30" customFormat="false" ht="15" hidden="false" customHeight="true" outlineLevel="0" collapsed="false">
      <c r="B30" s="44" t="str">
        <f aca="false">"Predeterminado del cliente: "&amp;IFERROR(INDEX(Clientes!$F$2:$F$200,MATCH($C$12,Clientes!$B$2:$B$200,0)),"")</f>
        <v>Predeterminado del cliente: Cliente PM - Servicios Profesionales</v>
      </c>
      <c r="E30" s="43" t="s">
        <v>41</v>
      </c>
      <c r="F30" s="36" t="n">
        <f aca="false">$F$29*Config!$C$15</f>
        <v>1398.72</v>
      </c>
    </row>
    <row r="31" customFormat="false" ht="15" hidden="false" customHeight="true" outlineLevel="0" collapsed="false">
      <c r="B31" s="45" t="s">
        <v>42</v>
      </c>
      <c r="C31" s="46" t="n">
        <v>0</v>
      </c>
      <c r="D31" s="47"/>
      <c r="E31" s="43" t="s">
        <v>43</v>
      </c>
      <c r="F31" s="36" t="n">
        <f aca="false">IF($C$29="Cliente PM - Servicios Profesionales",$F$29*Config!$C$16,IF($C$29="Personalizado",$F$29*$C$31,0))</f>
        <v>932.480000000003</v>
      </c>
    </row>
    <row r="32" customFormat="false" ht="15" hidden="false" customHeight="true" outlineLevel="0" collapsed="false">
      <c r="B32" s="45" t="s">
        <v>44</v>
      </c>
      <c r="C32" s="46" t="n">
        <v>0</v>
      </c>
      <c r="D32" s="47"/>
      <c r="E32" s="43" t="s">
        <v>45</v>
      </c>
      <c r="F32" s="36" t="n">
        <f aca="false">IF($C$29="Cliente PM - Servicios Profesionales",$F$29*Config!$C$17,IF($C$29="Cliente PM - RESICO PF",$F$29*Config!$C$18,IF($C$29="Personalizado",$F$29*$C$32,0)))</f>
        <v>874.2</v>
      </c>
    </row>
    <row r="33" customFormat="false" ht="15" hidden="false" customHeight="true" outlineLevel="0" collapsed="false">
      <c r="E33" s="48" t="s">
        <v>46</v>
      </c>
      <c r="F33" s="49" t="n">
        <f aca="false">$F$29+F30</f>
        <v>10140.72</v>
      </c>
    </row>
    <row r="34" customFormat="false" ht="15" hidden="false" customHeight="true" outlineLevel="0" collapsed="false">
      <c r="E34" s="50" t="s">
        <v>47</v>
      </c>
      <c r="F34" s="51" t="n">
        <f aca="false">$F$29+F30-F31-F32</f>
        <v>8334.04</v>
      </c>
    </row>
    <row r="36" customFormat="false" ht="15" hidden="false" customHeight="true" outlineLevel="0" collapsed="false">
      <c r="B36" s="26" t="s">
        <v>48</v>
      </c>
      <c r="C36" s="26"/>
      <c r="D36" s="26"/>
      <c r="E36" s="26"/>
      <c r="F36" s="26"/>
    </row>
    <row r="37" customFormat="false" ht="15.75" hidden="false" customHeight="true" outlineLevel="0" collapsed="false">
      <c r="B37" s="52" t="str">
        <f aca="false">"• Vigencia de la cotización: "&amp;E9&amp;" días naturales (vence "&amp;TEXT(F9,"dd/mm/yyyy")&amp;")."</f>
        <v>• Vigencia de la cotización: 15 días naturales (vence 19/06/2026).</v>
      </c>
      <c r="C37" s="52"/>
      <c r="D37" s="52"/>
      <c r="E37" s="52"/>
      <c r="F37" s="52"/>
    </row>
    <row r="38" customFormat="false" ht="15.75" hidden="false" customHeight="true" outlineLevel="0" collapsed="false">
      <c r="B38" s="53" t="s">
        <v>49</v>
      </c>
      <c r="C38" s="53"/>
      <c r="D38" s="53"/>
      <c r="E38" s="53"/>
      <c r="F38" s="53"/>
    </row>
    <row r="39" customFormat="false" ht="15.75" hidden="false" customHeight="true" outlineLevel="0" collapsed="false">
      <c r="B39" s="52" t="s">
        <v>50</v>
      </c>
      <c r="C39" s="52"/>
      <c r="D39" s="52"/>
      <c r="E39" s="52"/>
      <c r="F39" s="52"/>
    </row>
    <row r="40" customFormat="false" ht="15.75" hidden="false" customHeight="true" outlineLevel="0" collapsed="false">
      <c r="B40" s="53" t="s">
        <v>51</v>
      </c>
      <c r="C40" s="53"/>
      <c r="D40" s="53"/>
      <c r="E40" s="53"/>
      <c r="F40" s="53"/>
    </row>
    <row r="41" customFormat="false" ht="15.75" hidden="false" customHeight="true" outlineLevel="0" collapsed="false">
      <c r="B41" s="52" t="str">
        <f aca="false">"• Pago a: "&amp;Config!$C$22&amp;" — "&amp;Config!$C$21&amp;" | Cuenta: "&amp;Config!$C$23&amp;" | CLABE: "&amp;Config!$C$24</f>
        <v>• Pago a: César Gutiérrez Francisco — BBVA Bancomer | Cuenta: 1568791856 | CLABE: 012180015687918560</v>
      </c>
      <c r="C41" s="52"/>
      <c r="D41" s="52"/>
      <c r="E41" s="52"/>
      <c r="F41" s="52"/>
    </row>
    <row r="42" customFormat="false" ht="15.75" hidden="false" customHeight="true" outlineLevel="0" collapsed="false">
      <c r="B42" s="53" t="s">
        <v>52</v>
      </c>
      <c r="C42" s="53"/>
      <c r="D42" s="53"/>
      <c r="E42" s="53"/>
      <c r="F42" s="53"/>
    </row>
    <row r="44" customFormat="false" ht="15" hidden="false" customHeight="true" outlineLevel="0" collapsed="false">
      <c r="B44" s="54" t="s">
        <v>53</v>
      </c>
      <c r="C44" s="54"/>
      <c r="E44" s="54" t="s">
        <v>53</v>
      </c>
      <c r="F44" s="54"/>
    </row>
    <row r="45" customFormat="false" ht="15" hidden="false" customHeight="true" outlineLevel="0" collapsed="false">
      <c r="B45" s="55" t="str">
        <f aca="false">Config!$C$5</f>
        <v>Ing. César Gutiérrez Francisco</v>
      </c>
      <c r="C45" s="55"/>
      <c r="E45" s="55" t="s">
        <v>54</v>
      </c>
      <c r="F45" s="55"/>
    </row>
    <row r="46" customFormat="false" ht="15" hidden="false" customHeight="true" outlineLevel="0" collapsed="false">
      <c r="B46" s="56" t="s">
        <v>55</v>
      </c>
      <c r="C46" s="56"/>
      <c r="E46" s="56" t="s">
        <v>56</v>
      </c>
      <c r="F46" s="56"/>
    </row>
    <row r="49" customFormat="false" ht="15" hidden="false" customHeight="true" outlineLevel="0" collapsed="false">
      <c r="B49" s="57" t="s">
        <v>57</v>
      </c>
      <c r="C49" s="57"/>
      <c r="D49" s="57"/>
      <c r="E49" s="57"/>
      <c r="F49" s="57"/>
    </row>
    <row r="50" customFormat="false" ht="30.75" hidden="false" customHeight="true" outlineLevel="0" collapsed="false">
      <c r="B50" s="58" t="s">
        <v>58</v>
      </c>
      <c r="C50" s="58" t="s">
        <v>59</v>
      </c>
      <c r="D50" s="58" t="s">
        <v>24</v>
      </c>
      <c r="E50" s="58" t="s">
        <v>27</v>
      </c>
      <c r="F50" s="58" t="s">
        <v>60</v>
      </c>
      <c r="G50" s="58" t="s">
        <v>61</v>
      </c>
      <c r="H50" s="58" t="s">
        <v>40</v>
      </c>
      <c r="I50" s="58" t="s">
        <v>41</v>
      </c>
      <c r="J50" s="58" t="s">
        <v>62</v>
      </c>
      <c r="K50" s="58" t="s">
        <v>63</v>
      </c>
      <c r="L50" s="58" t="s">
        <v>64</v>
      </c>
      <c r="M50" s="58" t="s">
        <v>65</v>
      </c>
      <c r="N50" s="58" t="s">
        <v>66</v>
      </c>
      <c r="O50" s="58" t="s">
        <v>67</v>
      </c>
      <c r="P50" s="58" t="s">
        <v>68</v>
      </c>
      <c r="Q50" s="58" t="s">
        <v>69</v>
      </c>
    </row>
    <row r="51" customFormat="false" ht="15" hidden="false" customHeight="true" outlineLevel="0" collapsed="false">
      <c r="B51" s="59" t="str">
        <f aca="false">B9</f>
        <v>GUFC-0003</v>
      </c>
      <c r="C51" s="60" t="n">
        <f aca="false">C9</f>
        <v>46177</v>
      </c>
      <c r="D51" s="60" t="str">
        <f aca="false">$C$12</f>
        <v>DISH México</v>
      </c>
      <c r="E51" s="59" t="str">
        <f aca="false">F13</f>
        <v>PM</v>
      </c>
      <c r="F51" s="59" t="str">
        <f aca="false">$C$29</f>
        <v>Cliente PM - Servicios Profesionales</v>
      </c>
      <c r="G51" s="59" t="str">
        <f aca="false">B18</f>
        <v>Menú IVR principal + corrección de versiones + estandarización de certificados</v>
      </c>
      <c r="H51" s="61" t="n">
        <f aca="false">$F$29</f>
        <v>8742</v>
      </c>
      <c r="I51" s="61" t="n">
        <f aca="false">F30</f>
        <v>1398.72</v>
      </c>
      <c r="J51" s="61" t="n">
        <f aca="false">F31</f>
        <v>932.480000000003</v>
      </c>
      <c r="K51" s="61" t="n">
        <f aca="false">F32</f>
        <v>874.2</v>
      </c>
      <c r="L51" s="61" t="n">
        <f aca="false">F33</f>
        <v>10140.72</v>
      </c>
      <c r="M51" s="61" t="n">
        <f aca="false">F34</f>
        <v>8334.04</v>
      </c>
      <c r="N51" s="61" t="n">
        <f aca="false">E9</f>
        <v>15</v>
      </c>
      <c r="O51" s="60" t="n">
        <f aca="false">F9</f>
        <v>46192</v>
      </c>
      <c r="P51" s="59" t="s">
        <v>70</v>
      </c>
      <c r="Q51" s="59"/>
    </row>
  </sheetData>
  <mergeCells count="26">
    <mergeCell ref="B1:C3"/>
    <mergeCell ref="D1:F1"/>
    <mergeCell ref="D2:F2"/>
    <mergeCell ref="D3:F3"/>
    <mergeCell ref="B4:C5"/>
    <mergeCell ref="D4:F4"/>
    <mergeCell ref="D5:F5"/>
    <mergeCell ref="B7:F7"/>
    <mergeCell ref="B11:F11"/>
    <mergeCell ref="C12:F12"/>
    <mergeCell ref="C15:F15"/>
    <mergeCell ref="C29:D29"/>
    <mergeCell ref="B36:F36"/>
    <mergeCell ref="B37:F37"/>
    <mergeCell ref="B38:F38"/>
    <mergeCell ref="B39:F39"/>
    <mergeCell ref="B40:F40"/>
    <mergeCell ref="B41:F41"/>
    <mergeCell ref="B42:F42"/>
    <mergeCell ref="B44:C44"/>
    <mergeCell ref="E44:F44"/>
    <mergeCell ref="B45:C45"/>
    <mergeCell ref="E45:F45"/>
    <mergeCell ref="B46:C46"/>
    <mergeCell ref="E46:F46"/>
    <mergeCell ref="B49:F49"/>
  </mergeCells>
  <dataValidations count="3">
    <dataValidation allowBlank="true" errorStyle="stop" operator="between" showDropDown="false" showErrorMessage="false" showInputMessage="false" sqref="C12" type="list">
      <formula1>Clientes!$B$2:$B$200</formula1>
      <formula2>0</formula2>
    </dataValidation>
    <dataValidation allowBlank="true" errorStyle="stop" operator="between" showDropDown="false" showErrorMessage="false" showInputMessage="false" sqref="C29" type="list">
      <formula1>Listas!$B$2:$B$6</formula1>
      <formula2>0</formula2>
    </dataValidation>
    <dataValidation allowBlank="true" errorStyle="stop" operator="between" showDropDown="false" showErrorMessage="false" showInputMessage="false" sqref="C18:C27" type="list">
      <formula1>Listas!$D$2:$D$8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7"/>
    <col collapsed="false" customWidth="true" hidden="false" outlineLevel="0" max="5" min="5" style="1" width="30"/>
    <col collapsed="false" customWidth="true" hidden="false" outlineLevel="0" max="6" min="6" style="1" width="40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10" min="9" style="1" width="11"/>
    <col collapsed="false" customWidth="true" hidden="false" outlineLevel="0" max="12" min="11" style="1" width="15"/>
    <col collapsed="false" customWidth="true" hidden="false" outlineLevel="0" max="13" min="13" style="1" width="9"/>
    <col collapsed="false" customWidth="true" hidden="false" outlineLevel="0" max="14" min="14" style="1" width="12"/>
    <col collapsed="false" customWidth="true" hidden="false" outlineLevel="0" max="15" min="15" style="1" width="16"/>
    <col collapsed="false" customWidth="true" hidden="false" outlineLevel="0" max="16" min="16" style="1" width="26"/>
  </cols>
  <sheetData>
    <row r="1" customFormat="false" ht="33.75" hidden="false" customHeight="true" outlineLevel="0" collapsed="false">
      <c r="A1" s="62" t="s">
        <v>58</v>
      </c>
      <c r="B1" s="62" t="s">
        <v>59</v>
      </c>
      <c r="C1" s="62" t="s">
        <v>24</v>
      </c>
      <c r="D1" s="62" t="s">
        <v>27</v>
      </c>
      <c r="E1" s="62" t="s">
        <v>71</v>
      </c>
      <c r="F1" s="62" t="s">
        <v>61</v>
      </c>
      <c r="G1" s="62" t="s">
        <v>40</v>
      </c>
      <c r="H1" s="62" t="s">
        <v>41</v>
      </c>
      <c r="I1" s="62" t="s">
        <v>72</v>
      </c>
      <c r="J1" s="62" t="s">
        <v>73</v>
      </c>
      <c r="K1" s="62" t="s">
        <v>74</v>
      </c>
      <c r="L1" s="62" t="s">
        <v>75</v>
      </c>
      <c r="M1" s="62" t="s">
        <v>76</v>
      </c>
      <c r="N1" s="62" t="s">
        <v>67</v>
      </c>
      <c r="O1" s="62" t="s">
        <v>68</v>
      </c>
      <c r="P1" s="62" t="s">
        <v>69</v>
      </c>
    </row>
    <row r="2" customFormat="false" ht="21.75" hidden="false" customHeight="true" outlineLevel="0" collapsed="false">
      <c r="A2" s="63" t="s">
        <v>77</v>
      </c>
      <c r="B2" s="64" t="n">
        <v>46107</v>
      </c>
      <c r="C2" s="65" t="s">
        <v>25</v>
      </c>
      <c r="D2" s="66" t="s">
        <v>78</v>
      </c>
      <c r="E2" s="65" t="s">
        <v>39</v>
      </c>
      <c r="F2" s="65" t="s">
        <v>36</v>
      </c>
      <c r="G2" s="67" t="n">
        <v>8742</v>
      </c>
      <c r="H2" s="68" t="n">
        <f aca="false">IF($G2="","",$G2*Config!$C$15)</f>
        <v>1398.72</v>
      </c>
      <c r="I2" s="68" t="n">
        <f aca="false">IF($G2="","",IF($E2="Cliente PM - Servicios Profesionales",$G2*Config!$C$16,0))</f>
        <v>932.480000000003</v>
      </c>
      <c r="J2" s="68" t="n">
        <f aca="false">IF($G2="","",IF($E2="Cliente PM - Servicios Profesionales",$G2*Config!$C$17,IF($E2="Cliente PM - RESICO PF",$G2*Config!$C$18,0)))</f>
        <v>874.2</v>
      </c>
      <c r="K2" s="69" t="n">
        <f aca="false">IF($G2="","",$G2+$H2)</f>
        <v>10140.72</v>
      </c>
      <c r="L2" s="70" t="n">
        <f aca="false">IF($G2="","",$K2-$I2-$J2)</f>
        <v>8334.04</v>
      </c>
      <c r="M2" s="66" t="n">
        <v>15</v>
      </c>
      <c r="N2" s="64" t="n">
        <f aca="false">IF(OR($B2="",$M2=""),"",$B2+$M2)</f>
        <v>46122</v>
      </c>
      <c r="O2" s="66" t="s">
        <v>79</v>
      </c>
      <c r="P2" s="65" t="s">
        <v>80</v>
      </c>
    </row>
    <row r="3" customFormat="false" ht="21.75" hidden="false" customHeight="true" outlineLevel="0" collapsed="false">
      <c r="A3" s="63" t="s">
        <v>81</v>
      </c>
      <c r="B3" s="64" t="n">
        <v>44281</v>
      </c>
      <c r="C3" s="65" t="s">
        <v>82</v>
      </c>
      <c r="D3" s="66" t="s">
        <v>78</v>
      </c>
      <c r="E3" s="65" t="s">
        <v>39</v>
      </c>
      <c r="F3" s="65" t="s">
        <v>83</v>
      </c>
      <c r="G3" s="67" t="n">
        <v>20304</v>
      </c>
      <c r="H3" s="68" t="n">
        <f aca="false">IF($G3="","",$G3*Config!$C$15)</f>
        <v>3248.64</v>
      </c>
      <c r="I3" s="68" t="n">
        <f aca="false">IF($G3="","",IF($E3="Cliente PM - Servicios Profesionales",$G3*Config!$C$16,0))</f>
        <v>2165.76000000001</v>
      </c>
      <c r="J3" s="68" t="n">
        <f aca="false">IF($G3="","",IF($E3="Cliente PM - Servicios Profesionales",$G3*Config!$C$17,IF($E3="Cliente PM - RESICO PF",$G3*Config!$C$18,0)))</f>
        <v>2030.4</v>
      </c>
      <c r="K3" s="69" t="n">
        <f aca="false">IF($G3="","",$G3+$H3)</f>
        <v>23552.64</v>
      </c>
      <c r="L3" s="70" t="n">
        <f aca="false">IF($G3="","",$K3-$I3-$J3)</f>
        <v>19356.48</v>
      </c>
      <c r="M3" s="66" t="n">
        <v>30</v>
      </c>
      <c r="N3" s="64" t="n">
        <f aca="false">IF(OR($B3="",$M3=""),"",$B3+$M3)</f>
        <v>44311</v>
      </c>
      <c r="O3" s="66" t="s">
        <v>84</v>
      </c>
      <c r="P3" s="65" t="s">
        <v>85</v>
      </c>
    </row>
    <row r="4" customFormat="false" ht="15" hidden="false" customHeight="true" outlineLevel="0" collapsed="false">
      <c r="A4" s="71" t="s">
        <v>86</v>
      </c>
      <c r="B4" s="64" t="n">
        <v>46140</v>
      </c>
      <c r="C4" s="71" t="s">
        <v>87</v>
      </c>
      <c r="D4" s="71" t="s">
        <v>78</v>
      </c>
      <c r="E4" s="71" t="s">
        <v>39</v>
      </c>
      <c r="F4" s="71" t="s">
        <v>88</v>
      </c>
      <c r="G4" s="67" t="n">
        <v>64790</v>
      </c>
      <c r="H4" s="68" t="n">
        <f aca="false">IF($G4="","",$G4*Config!$C$15)</f>
        <v>10366.4</v>
      </c>
      <c r="I4" s="68" t="n">
        <f aca="false">IF($G4="","",IF($E4="Cliente PM - Servicios Profesionales",$G4*Config!$C$16,0))</f>
        <v>6910.93333333336</v>
      </c>
      <c r="J4" s="68" t="n">
        <f aca="false">IF($G4="","",IF($E4="Cliente PM - Servicios Profesionales",$G4*Config!$C$17,IF($E4="Cliente PM - RESICO PF",$G4*Config!$C$18,0)))</f>
        <v>6479</v>
      </c>
      <c r="K4" s="69" t="n">
        <f aca="false">IF($G4="","",$G4+$H4)</f>
        <v>75156.4</v>
      </c>
      <c r="L4" s="70" t="n">
        <f aca="false">IF($G4="","",$K4-$I4-$J4)</f>
        <v>61766.4666666666</v>
      </c>
      <c r="M4" s="71" t="n">
        <v>30</v>
      </c>
      <c r="N4" s="64" t="n">
        <f aca="false">IF(OR($B4="",$M4=""),"",$B4+$M4)</f>
        <v>46170</v>
      </c>
      <c r="O4" s="71" t="s">
        <v>79</v>
      </c>
      <c r="P4" s="71" t="s">
        <v>89</v>
      </c>
    </row>
    <row r="5" customFormat="false" ht="15" hidden="false" customHeight="true" outlineLevel="0" collapsed="false">
      <c r="A5" s="71"/>
      <c r="B5" s="64"/>
      <c r="C5" s="71"/>
      <c r="D5" s="71"/>
      <c r="E5" s="71"/>
      <c r="F5" s="71"/>
      <c r="G5" s="67"/>
      <c r="H5" s="68" t="str">
        <f aca="false">IF($G5="","",$G5*Config!$C$15)</f>
        <v/>
      </c>
      <c r="I5" s="68" t="str">
        <f aca="false">IF($G5="","",IF($E5="Cliente PM - Servicios Profesionales",$G5*Config!$C$16,0))</f>
        <v/>
      </c>
      <c r="J5" s="68" t="str">
        <f aca="false">IF($G5="","",IF($E5="Cliente PM - Servicios Profesionales",$G5*Config!$C$17,IF($E5="Cliente PM - RESICO PF",$G5*Config!$C$18,0)))</f>
        <v/>
      </c>
      <c r="K5" s="69" t="str">
        <f aca="false">IF($G5="","",$G5+$H5)</f>
        <v/>
      </c>
      <c r="L5" s="70" t="str">
        <f aca="false">IF($G5="","",$K5-$I5-$J5)</f>
        <v/>
      </c>
      <c r="M5" s="71"/>
      <c r="N5" s="64" t="str">
        <f aca="false">IF(OR($B5="",$M5=""),"",$B5+$M5)</f>
        <v/>
      </c>
      <c r="O5" s="71"/>
      <c r="P5" s="71"/>
    </row>
    <row r="6" customFormat="false" ht="15" hidden="false" customHeight="true" outlineLevel="0" collapsed="false">
      <c r="A6" s="71"/>
      <c r="B6" s="64"/>
      <c r="C6" s="71"/>
      <c r="D6" s="71"/>
      <c r="E6" s="71"/>
      <c r="F6" s="71"/>
      <c r="G6" s="67"/>
      <c r="H6" s="68" t="str">
        <f aca="false">IF($G6="","",$G6*Config!$C$15)</f>
        <v/>
      </c>
      <c r="I6" s="68" t="str">
        <f aca="false">IF($G6="","",IF($E6="Cliente PM - Servicios Profesionales",$G6*Config!$C$16,0))</f>
        <v/>
      </c>
      <c r="J6" s="68" t="str">
        <f aca="false">IF($G6="","",IF($E6="Cliente PM - Servicios Profesionales",$G6*Config!$C$17,IF($E6="Cliente PM - RESICO PF",$G6*Config!$C$18,0)))</f>
        <v/>
      </c>
      <c r="K6" s="69" t="str">
        <f aca="false">IF($G6="","",$G6+$H6)</f>
        <v/>
      </c>
      <c r="L6" s="70" t="str">
        <f aca="false">IF($G6="","",$K6-$I6-$J6)</f>
        <v/>
      </c>
      <c r="M6" s="71"/>
      <c r="N6" s="64" t="str">
        <f aca="false">IF(OR($B6="",$M6=""),"",$B6+$M6)</f>
        <v/>
      </c>
      <c r="O6" s="71"/>
      <c r="P6" s="71"/>
    </row>
    <row r="7" customFormat="false" ht="15" hidden="false" customHeight="true" outlineLevel="0" collapsed="false">
      <c r="A7" s="71"/>
      <c r="B7" s="64"/>
      <c r="C7" s="71"/>
      <c r="D7" s="71"/>
      <c r="E7" s="71"/>
      <c r="F7" s="71"/>
      <c r="G7" s="67"/>
      <c r="H7" s="68" t="str">
        <f aca="false">IF($G7="","",$G7*Config!$C$15)</f>
        <v/>
      </c>
      <c r="I7" s="68" t="str">
        <f aca="false">IF($G7="","",IF($E7="Cliente PM - Servicios Profesionales",$G7*Config!$C$16,0))</f>
        <v/>
      </c>
      <c r="J7" s="68" t="str">
        <f aca="false">IF($G7="","",IF($E7="Cliente PM - Servicios Profesionales",$G7*Config!$C$17,IF($E7="Cliente PM - RESICO PF",$G7*Config!$C$18,0)))</f>
        <v/>
      </c>
      <c r="K7" s="69" t="str">
        <f aca="false">IF($G7="","",$G7+$H7)</f>
        <v/>
      </c>
      <c r="L7" s="70" t="str">
        <f aca="false">IF($G7="","",$K7-$I7-$J7)</f>
        <v/>
      </c>
      <c r="M7" s="71"/>
      <c r="N7" s="64" t="str">
        <f aca="false">IF(OR($B7="",$M7=""),"",$B7+$M7)</f>
        <v/>
      </c>
      <c r="O7" s="71"/>
      <c r="P7" s="71"/>
    </row>
    <row r="8" customFormat="false" ht="15" hidden="false" customHeight="true" outlineLevel="0" collapsed="false">
      <c r="A8" s="71"/>
      <c r="B8" s="64"/>
      <c r="C8" s="71"/>
      <c r="D8" s="71"/>
      <c r="E8" s="71"/>
      <c r="F8" s="71"/>
      <c r="G8" s="67"/>
      <c r="H8" s="68" t="str">
        <f aca="false">IF($G8="","",$G8*Config!$C$15)</f>
        <v/>
      </c>
      <c r="I8" s="68" t="str">
        <f aca="false">IF($G8="","",IF($E8="Cliente PM - Servicios Profesionales",$G8*Config!$C$16,0))</f>
        <v/>
      </c>
      <c r="J8" s="68" t="str">
        <f aca="false">IF($G8="","",IF($E8="Cliente PM - Servicios Profesionales",$G8*Config!$C$17,IF($E8="Cliente PM - RESICO PF",$G8*Config!$C$18,0)))</f>
        <v/>
      </c>
      <c r="K8" s="69" t="str">
        <f aca="false">IF($G8="","",$G8+$H8)</f>
        <v/>
      </c>
      <c r="L8" s="70" t="str">
        <f aca="false">IF($G8="","",$K8-$I8-$J8)</f>
        <v/>
      </c>
      <c r="M8" s="71"/>
      <c r="N8" s="64" t="str">
        <f aca="false">IF(OR($B8="",$M8=""),"",$B8+$M8)</f>
        <v/>
      </c>
      <c r="O8" s="71"/>
      <c r="P8" s="71"/>
    </row>
    <row r="9" customFormat="false" ht="15" hidden="false" customHeight="true" outlineLevel="0" collapsed="false">
      <c r="A9" s="71"/>
      <c r="B9" s="64"/>
      <c r="C9" s="71"/>
      <c r="D9" s="71"/>
      <c r="E9" s="71"/>
      <c r="F9" s="71"/>
      <c r="G9" s="67"/>
      <c r="H9" s="68" t="str">
        <f aca="false">IF($G9="","",$G9*Config!$C$15)</f>
        <v/>
      </c>
      <c r="I9" s="68" t="str">
        <f aca="false">IF($G9="","",IF($E9="Cliente PM - Servicios Profesionales",$G9*Config!$C$16,0))</f>
        <v/>
      </c>
      <c r="J9" s="68" t="str">
        <f aca="false">IF($G9="","",IF($E9="Cliente PM - Servicios Profesionales",$G9*Config!$C$17,IF($E9="Cliente PM - RESICO PF",$G9*Config!$C$18,0)))</f>
        <v/>
      </c>
      <c r="K9" s="69" t="str">
        <f aca="false">IF($G9="","",$G9+$H9)</f>
        <v/>
      </c>
      <c r="L9" s="70" t="str">
        <f aca="false">IF($G9="","",$K9-$I9-$J9)</f>
        <v/>
      </c>
      <c r="M9" s="71"/>
      <c r="N9" s="64" t="str">
        <f aca="false">IF(OR($B9="",$M9=""),"",$B9+$M9)</f>
        <v/>
      </c>
      <c r="O9" s="71"/>
      <c r="P9" s="71"/>
    </row>
    <row r="10" customFormat="false" ht="15" hidden="false" customHeight="true" outlineLevel="0" collapsed="false">
      <c r="A10" s="71"/>
      <c r="B10" s="64"/>
      <c r="C10" s="71"/>
      <c r="D10" s="71"/>
      <c r="E10" s="71"/>
      <c r="F10" s="71"/>
      <c r="G10" s="67"/>
      <c r="H10" s="68" t="str">
        <f aca="false">IF($G10="","",$G10*Config!$C$15)</f>
        <v/>
      </c>
      <c r="I10" s="68" t="str">
        <f aca="false">IF($G10="","",IF($E10="Cliente PM - Servicios Profesionales",$G10*Config!$C$16,0))</f>
        <v/>
      </c>
      <c r="J10" s="68" t="str">
        <f aca="false">IF($G10="","",IF($E10="Cliente PM - Servicios Profesionales",$G10*Config!$C$17,IF($E10="Cliente PM - RESICO PF",$G10*Config!$C$18,0)))</f>
        <v/>
      </c>
      <c r="K10" s="69" t="str">
        <f aca="false">IF($G10="","",$G10+$H10)</f>
        <v/>
      </c>
      <c r="L10" s="70" t="str">
        <f aca="false">IF($G10="","",$K10-$I10-$J10)</f>
        <v/>
      </c>
      <c r="M10" s="71"/>
      <c r="N10" s="64" t="str">
        <f aca="false">IF(OR($B10="",$M10=""),"",$B10+$M10)</f>
        <v/>
      </c>
      <c r="O10" s="71"/>
      <c r="P10" s="71"/>
    </row>
    <row r="11" customFormat="false" ht="15" hidden="false" customHeight="true" outlineLevel="0" collapsed="false">
      <c r="A11" s="71"/>
      <c r="B11" s="64"/>
      <c r="C11" s="71"/>
      <c r="D11" s="71"/>
      <c r="E11" s="71"/>
      <c r="F11" s="71"/>
      <c r="G11" s="67"/>
      <c r="H11" s="68" t="str">
        <f aca="false">IF($G11="","",$G11*Config!$C$15)</f>
        <v/>
      </c>
      <c r="I11" s="68" t="str">
        <f aca="false">IF($G11="","",IF($E11="Cliente PM - Servicios Profesionales",$G11*Config!$C$16,0))</f>
        <v/>
      </c>
      <c r="J11" s="68" t="str">
        <f aca="false">IF($G11="","",IF($E11="Cliente PM - Servicios Profesionales",$G11*Config!$C$17,IF($E11="Cliente PM - RESICO PF",$G11*Config!$C$18,0)))</f>
        <v/>
      </c>
      <c r="K11" s="69" t="str">
        <f aca="false">IF($G11="","",$G11+$H11)</f>
        <v/>
      </c>
      <c r="L11" s="70" t="str">
        <f aca="false">IF($G11="","",$K11-$I11-$J11)</f>
        <v/>
      </c>
      <c r="M11" s="71"/>
      <c r="N11" s="64" t="str">
        <f aca="false">IF(OR($B11="",$M11=""),"",$B11+$M11)</f>
        <v/>
      </c>
      <c r="O11" s="71"/>
      <c r="P11" s="71"/>
    </row>
    <row r="12" customFormat="false" ht="15" hidden="false" customHeight="true" outlineLevel="0" collapsed="false">
      <c r="A12" s="71"/>
      <c r="B12" s="64"/>
      <c r="C12" s="71"/>
      <c r="D12" s="71"/>
      <c r="E12" s="71"/>
      <c r="F12" s="71"/>
      <c r="G12" s="67"/>
      <c r="H12" s="68" t="str">
        <f aca="false">IF($G12="","",$G12*Config!$C$15)</f>
        <v/>
      </c>
      <c r="I12" s="68" t="str">
        <f aca="false">IF($G12="","",IF($E12="Cliente PM - Servicios Profesionales",$G12*Config!$C$16,0))</f>
        <v/>
      </c>
      <c r="J12" s="68" t="str">
        <f aca="false">IF($G12="","",IF($E12="Cliente PM - Servicios Profesionales",$G12*Config!$C$17,IF($E12="Cliente PM - RESICO PF",$G12*Config!$C$18,0)))</f>
        <v/>
      </c>
      <c r="K12" s="69" t="str">
        <f aca="false">IF($G12="","",$G12+$H12)</f>
        <v/>
      </c>
      <c r="L12" s="70" t="str">
        <f aca="false">IF($G12="","",$K12-$I12-$J12)</f>
        <v/>
      </c>
      <c r="M12" s="71"/>
      <c r="N12" s="64" t="str">
        <f aca="false">IF(OR($B12="",$M12=""),"",$B12+$M12)</f>
        <v/>
      </c>
      <c r="O12" s="71"/>
      <c r="P12" s="71"/>
    </row>
    <row r="13" customFormat="false" ht="15" hidden="false" customHeight="true" outlineLevel="0" collapsed="false">
      <c r="A13" s="71"/>
      <c r="B13" s="64"/>
      <c r="C13" s="71"/>
      <c r="D13" s="71"/>
      <c r="E13" s="71"/>
      <c r="F13" s="71"/>
      <c r="G13" s="67"/>
      <c r="H13" s="68" t="str">
        <f aca="false">IF($G13="","",$G13*Config!$C$15)</f>
        <v/>
      </c>
      <c r="I13" s="68" t="str">
        <f aca="false">IF($G13="","",IF($E13="Cliente PM - Servicios Profesionales",$G13*Config!$C$16,0))</f>
        <v/>
      </c>
      <c r="J13" s="68" t="str">
        <f aca="false">IF($G13="","",IF($E13="Cliente PM - Servicios Profesionales",$G13*Config!$C$17,IF($E13="Cliente PM - RESICO PF",$G13*Config!$C$18,0)))</f>
        <v/>
      </c>
      <c r="K13" s="69" t="str">
        <f aca="false">IF($G13="","",$G13+$H13)</f>
        <v/>
      </c>
      <c r="L13" s="70" t="str">
        <f aca="false">IF($G13="","",$K13-$I13-$J13)</f>
        <v/>
      </c>
      <c r="M13" s="71"/>
      <c r="N13" s="64" t="str">
        <f aca="false">IF(OR($B13="",$M13=""),"",$B13+$M13)</f>
        <v/>
      </c>
      <c r="O13" s="71"/>
      <c r="P13" s="71"/>
    </row>
    <row r="14" customFormat="false" ht="15" hidden="false" customHeight="true" outlineLevel="0" collapsed="false">
      <c r="A14" s="71"/>
      <c r="B14" s="64"/>
      <c r="C14" s="71"/>
      <c r="D14" s="71"/>
      <c r="E14" s="71"/>
      <c r="F14" s="71"/>
      <c r="G14" s="67"/>
      <c r="H14" s="68" t="str">
        <f aca="false">IF($G14="","",$G14*Config!$C$15)</f>
        <v/>
      </c>
      <c r="I14" s="68" t="str">
        <f aca="false">IF($G14="","",IF($E14="Cliente PM - Servicios Profesionales",$G14*Config!$C$16,0))</f>
        <v/>
      </c>
      <c r="J14" s="68" t="str">
        <f aca="false">IF($G14="","",IF($E14="Cliente PM - Servicios Profesionales",$G14*Config!$C$17,IF($E14="Cliente PM - RESICO PF",$G14*Config!$C$18,0)))</f>
        <v/>
      </c>
      <c r="K14" s="69" t="str">
        <f aca="false">IF($G14="","",$G14+$H14)</f>
        <v/>
      </c>
      <c r="L14" s="70" t="str">
        <f aca="false">IF($G14="","",$K14-$I14-$J14)</f>
        <v/>
      </c>
      <c r="M14" s="71"/>
      <c r="N14" s="64" t="str">
        <f aca="false">IF(OR($B14="",$M14=""),"",$B14+$M14)</f>
        <v/>
      </c>
      <c r="O14" s="71"/>
      <c r="P14" s="71"/>
    </row>
    <row r="15" customFormat="false" ht="15" hidden="false" customHeight="true" outlineLevel="0" collapsed="false">
      <c r="A15" s="71"/>
      <c r="B15" s="64"/>
      <c r="C15" s="71"/>
      <c r="D15" s="71"/>
      <c r="E15" s="71"/>
      <c r="F15" s="71"/>
      <c r="G15" s="67"/>
      <c r="H15" s="68" t="str">
        <f aca="false">IF($G15="","",$G15*Config!$C$15)</f>
        <v/>
      </c>
      <c r="I15" s="68" t="str">
        <f aca="false">IF($G15="","",IF($E15="Cliente PM - Servicios Profesionales",$G15*Config!$C$16,0))</f>
        <v/>
      </c>
      <c r="J15" s="68" t="str">
        <f aca="false">IF($G15="","",IF($E15="Cliente PM - Servicios Profesionales",$G15*Config!$C$17,IF($E15="Cliente PM - RESICO PF",$G15*Config!$C$18,0)))</f>
        <v/>
      </c>
      <c r="K15" s="69" t="str">
        <f aca="false">IF($G15="","",$G15+$H15)</f>
        <v/>
      </c>
      <c r="L15" s="70" t="str">
        <f aca="false">IF($G15="","",$K15-$I15-$J15)</f>
        <v/>
      </c>
      <c r="M15" s="71"/>
      <c r="N15" s="64" t="str">
        <f aca="false">IF(OR($B15="",$M15=""),"",$B15+$M15)</f>
        <v/>
      </c>
      <c r="O15" s="71"/>
      <c r="P15" s="71"/>
    </row>
    <row r="16" customFormat="false" ht="15" hidden="false" customHeight="true" outlineLevel="0" collapsed="false">
      <c r="A16" s="71"/>
      <c r="B16" s="64"/>
      <c r="C16" s="71"/>
      <c r="D16" s="71"/>
      <c r="E16" s="71"/>
      <c r="F16" s="71"/>
      <c r="G16" s="67"/>
      <c r="H16" s="68" t="str">
        <f aca="false">IF($G16="","",$G16*Config!$C$15)</f>
        <v/>
      </c>
      <c r="I16" s="68" t="str">
        <f aca="false">IF($G16="","",IF($E16="Cliente PM - Servicios Profesionales",$G16*Config!$C$16,0))</f>
        <v/>
      </c>
      <c r="J16" s="68" t="str">
        <f aca="false">IF($G16="","",IF($E16="Cliente PM - Servicios Profesionales",$G16*Config!$C$17,IF($E16="Cliente PM - RESICO PF",$G16*Config!$C$18,0)))</f>
        <v/>
      </c>
      <c r="K16" s="69" t="str">
        <f aca="false">IF($G16="","",$G16+$H16)</f>
        <v/>
      </c>
      <c r="L16" s="70" t="str">
        <f aca="false">IF($G16="","",$K16-$I16-$J16)</f>
        <v/>
      </c>
      <c r="M16" s="71"/>
      <c r="N16" s="64" t="str">
        <f aca="false">IF(OR($B16="",$M16=""),"",$B16+$M16)</f>
        <v/>
      </c>
      <c r="O16" s="71"/>
      <c r="P16" s="71"/>
    </row>
    <row r="17" customFormat="false" ht="15" hidden="false" customHeight="true" outlineLevel="0" collapsed="false">
      <c r="A17" s="71"/>
      <c r="B17" s="64"/>
      <c r="C17" s="71"/>
      <c r="D17" s="71"/>
      <c r="E17" s="71"/>
      <c r="F17" s="71"/>
      <c r="G17" s="67"/>
      <c r="H17" s="68" t="str">
        <f aca="false">IF($G17="","",$G17*Config!$C$15)</f>
        <v/>
      </c>
      <c r="I17" s="68" t="str">
        <f aca="false">IF($G17="","",IF($E17="Cliente PM - Servicios Profesionales",$G17*Config!$C$16,0))</f>
        <v/>
      </c>
      <c r="J17" s="68" t="str">
        <f aca="false">IF($G17="","",IF($E17="Cliente PM - Servicios Profesionales",$G17*Config!$C$17,IF($E17="Cliente PM - RESICO PF",$G17*Config!$C$18,0)))</f>
        <v/>
      </c>
      <c r="K17" s="69" t="str">
        <f aca="false">IF($G17="","",$G17+$H17)</f>
        <v/>
      </c>
      <c r="L17" s="70" t="str">
        <f aca="false">IF($G17="","",$K17-$I17-$J17)</f>
        <v/>
      </c>
      <c r="M17" s="71"/>
      <c r="N17" s="64" t="str">
        <f aca="false">IF(OR($B17="",$M17=""),"",$B17+$M17)</f>
        <v/>
      </c>
      <c r="O17" s="71"/>
      <c r="P17" s="71"/>
    </row>
    <row r="18" customFormat="false" ht="15" hidden="false" customHeight="true" outlineLevel="0" collapsed="false">
      <c r="A18" s="71"/>
      <c r="B18" s="64"/>
      <c r="C18" s="71"/>
      <c r="D18" s="71"/>
      <c r="E18" s="71"/>
      <c r="F18" s="71"/>
      <c r="G18" s="67"/>
      <c r="H18" s="68" t="str">
        <f aca="false">IF($G18="","",$G18*Config!$C$15)</f>
        <v/>
      </c>
      <c r="I18" s="68" t="str">
        <f aca="false">IF($G18="","",IF($E18="Cliente PM - Servicios Profesionales",$G18*Config!$C$16,0))</f>
        <v/>
      </c>
      <c r="J18" s="68" t="str">
        <f aca="false">IF($G18="","",IF($E18="Cliente PM - Servicios Profesionales",$G18*Config!$C$17,IF($E18="Cliente PM - RESICO PF",$G18*Config!$C$18,0)))</f>
        <v/>
      </c>
      <c r="K18" s="69" t="str">
        <f aca="false">IF($G18="","",$G18+$H18)</f>
        <v/>
      </c>
      <c r="L18" s="70" t="str">
        <f aca="false">IF($G18="","",$K18-$I18-$J18)</f>
        <v/>
      </c>
      <c r="M18" s="71"/>
      <c r="N18" s="64" t="str">
        <f aca="false">IF(OR($B18="",$M18=""),"",$B18+$M18)</f>
        <v/>
      </c>
      <c r="O18" s="71"/>
      <c r="P18" s="71"/>
    </row>
    <row r="19" customFormat="false" ht="15" hidden="false" customHeight="true" outlineLevel="0" collapsed="false">
      <c r="A19" s="71"/>
      <c r="B19" s="64"/>
      <c r="C19" s="71"/>
      <c r="D19" s="71"/>
      <c r="E19" s="71"/>
      <c r="F19" s="71"/>
      <c r="G19" s="67"/>
      <c r="H19" s="68" t="str">
        <f aca="false">IF($G19="","",$G19*Config!$C$15)</f>
        <v/>
      </c>
      <c r="I19" s="68" t="str">
        <f aca="false">IF($G19="","",IF($E19="Cliente PM - Servicios Profesionales",$G19*Config!$C$16,0))</f>
        <v/>
      </c>
      <c r="J19" s="68" t="str">
        <f aca="false">IF($G19="","",IF($E19="Cliente PM - Servicios Profesionales",$G19*Config!$C$17,IF($E19="Cliente PM - RESICO PF",$G19*Config!$C$18,0)))</f>
        <v/>
      </c>
      <c r="K19" s="69" t="str">
        <f aca="false">IF($G19="","",$G19+$H19)</f>
        <v/>
      </c>
      <c r="L19" s="70" t="str">
        <f aca="false">IF($G19="","",$K19-$I19-$J19)</f>
        <v/>
      </c>
      <c r="M19" s="71"/>
      <c r="N19" s="64" t="str">
        <f aca="false">IF(OR($B19="",$M19=""),"",$B19+$M19)</f>
        <v/>
      </c>
      <c r="O19" s="71"/>
      <c r="P19" s="71"/>
    </row>
    <row r="20" customFormat="false" ht="15" hidden="false" customHeight="true" outlineLevel="0" collapsed="false">
      <c r="A20" s="71"/>
      <c r="B20" s="64"/>
      <c r="C20" s="71"/>
      <c r="D20" s="71"/>
      <c r="E20" s="71"/>
      <c r="F20" s="71"/>
      <c r="G20" s="67"/>
      <c r="H20" s="68" t="str">
        <f aca="false">IF($G20="","",$G20*Config!$C$15)</f>
        <v/>
      </c>
      <c r="I20" s="68" t="str">
        <f aca="false">IF($G20="","",IF($E20="Cliente PM - Servicios Profesionales",$G20*Config!$C$16,0))</f>
        <v/>
      </c>
      <c r="J20" s="68" t="str">
        <f aca="false">IF($G20="","",IF($E20="Cliente PM - Servicios Profesionales",$G20*Config!$C$17,IF($E20="Cliente PM - RESICO PF",$G20*Config!$C$18,0)))</f>
        <v/>
      </c>
      <c r="K20" s="69" t="str">
        <f aca="false">IF($G20="","",$G20+$H20)</f>
        <v/>
      </c>
      <c r="L20" s="70" t="str">
        <f aca="false">IF($G20="","",$K20-$I20-$J20)</f>
        <v/>
      </c>
      <c r="M20" s="71"/>
      <c r="N20" s="64" t="str">
        <f aca="false">IF(OR($B20="",$M20=""),"",$B20+$M20)</f>
        <v/>
      </c>
      <c r="O20" s="71"/>
      <c r="P20" s="71"/>
    </row>
    <row r="21" customFormat="false" ht="15" hidden="false" customHeight="true" outlineLevel="0" collapsed="false">
      <c r="A21" s="71"/>
      <c r="B21" s="64"/>
      <c r="C21" s="71"/>
      <c r="D21" s="71"/>
      <c r="E21" s="71"/>
      <c r="F21" s="71"/>
      <c r="G21" s="67"/>
      <c r="H21" s="68" t="str">
        <f aca="false">IF($G21="","",$G21*Config!$C$15)</f>
        <v/>
      </c>
      <c r="I21" s="68" t="str">
        <f aca="false">IF($G21="","",IF($E21="Cliente PM - Servicios Profesionales",$G21*Config!$C$16,0))</f>
        <v/>
      </c>
      <c r="J21" s="68" t="str">
        <f aca="false">IF($G21="","",IF($E21="Cliente PM - Servicios Profesionales",$G21*Config!$C$17,IF($E21="Cliente PM - RESICO PF",$G21*Config!$C$18,0)))</f>
        <v/>
      </c>
      <c r="K21" s="69" t="str">
        <f aca="false">IF($G21="","",$G21+$H21)</f>
        <v/>
      </c>
      <c r="L21" s="70" t="str">
        <f aca="false">IF($G21="","",$K21-$I21-$J21)</f>
        <v/>
      </c>
      <c r="M21" s="71"/>
      <c r="N21" s="64" t="str">
        <f aca="false">IF(OR($B21="",$M21=""),"",$B21+$M21)</f>
        <v/>
      </c>
      <c r="O21" s="71"/>
      <c r="P21" s="71"/>
    </row>
    <row r="22" customFormat="false" ht="15" hidden="false" customHeight="true" outlineLevel="0" collapsed="false">
      <c r="A22" s="71"/>
      <c r="B22" s="64"/>
      <c r="C22" s="71"/>
      <c r="D22" s="71"/>
      <c r="E22" s="71"/>
      <c r="F22" s="71"/>
      <c r="G22" s="67"/>
      <c r="H22" s="68" t="str">
        <f aca="false">IF($G22="","",$G22*Config!$C$15)</f>
        <v/>
      </c>
      <c r="I22" s="68" t="str">
        <f aca="false">IF($G22="","",IF($E22="Cliente PM - Servicios Profesionales",$G22*Config!$C$16,0))</f>
        <v/>
      </c>
      <c r="J22" s="68" t="str">
        <f aca="false">IF($G22="","",IF($E22="Cliente PM - Servicios Profesionales",$G22*Config!$C$17,IF($E22="Cliente PM - RESICO PF",$G22*Config!$C$18,0)))</f>
        <v/>
      </c>
      <c r="K22" s="69" t="str">
        <f aca="false">IF($G22="","",$G22+$H22)</f>
        <v/>
      </c>
      <c r="L22" s="70" t="str">
        <f aca="false">IF($G22="","",$K22-$I22-$J22)</f>
        <v/>
      </c>
      <c r="M22" s="71"/>
      <c r="N22" s="64" t="str">
        <f aca="false">IF(OR($B22="",$M22=""),"",$B22+$M22)</f>
        <v/>
      </c>
      <c r="O22" s="71"/>
      <c r="P22" s="71"/>
    </row>
    <row r="23" customFormat="false" ht="15" hidden="false" customHeight="true" outlineLevel="0" collapsed="false">
      <c r="A23" s="71"/>
      <c r="B23" s="64"/>
      <c r="C23" s="71"/>
      <c r="D23" s="71"/>
      <c r="E23" s="71"/>
      <c r="F23" s="71"/>
      <c r="G23" s="67"/>
      <c r="H23" s="68" t="str">
        <f aca="false">IF($G23="","",$G23*Config!$C$15)</f>
        <v/>
      </c>
      <c r="I23" s="68" t="str">
        <f aca="false">IF($G23="","",IF($E23="Cliente PM - Servicios Profesionales",$G23*Config!$C$16,0))</f>
        <v/>
      </c>
      <c r="J23" s="68" t="str">
        <f aca="false">IF($G23="","",IF($E23="Cliente PM - Servicios Profesionales",$G23*Config!$C$17,IF($E23="Cliente PM - RESICO PF",$G23*Config!$C$18,0)))</f>
        <v/>
      </c>
      <c r="K23" s="69" t="str">
        <f aca="false">IF($G23="","",$G23+$H23)</f>
        <v/>
      </c>
      <c r="L23" s="70" t="str">
        <f aca="false">IF($G23="","",$K23-$I23-$J23)</f>
        <v/>
      </c>
      <c r="M23" s="71"/>
      <c r="N23" s="64" t="str">
        <f aca="false">IF(OR($B23="",$M23=""),"",$B23+$M23)</f>
        <v/>
      </c>
      <c r="O23" s="71"/>
      <c r="P23" s="71"/>
    </row>
    <row r="24" customFormat="false" ht="15" hidden="false" customHeight="true" outlineLevel="0" collapsed="false">
      <c r="A24" s="71"/>
      <c r="B24" s="64"/>
      <c r="C24" s="71"/>
      <c r="D24" s="71"/>
      <c r="E24" s="71"/>
      <c r="F24" s="71"/>
      <c r="G24" s="67"/>
      <c r="H24" s="68" t="str">
        <f aca="false">IF($G24="","",$G24*Config!$C$15)</f>
        <v/>
      </c>
      <c r="I24" s="68" t="str">
        <f aca="false">IF($G24="","",IF($E24="Cliente PM - Servicios Profesionales",$G24*Config!$C$16,0))</f>
        <v/>
      </c>
      <c r="J24" s="68" t="str">
        <f aca="false">IF($G24="","",IF($E24="Cliente PM - Servicios Profesionales",$G24*Config!$C$17,IF($E24="Cliente PM - RESICO PF",$G24*Config!$C$18,0)))</f>
        <v/>
      </c>
      <c r="K24" s="69" t="str">
        <f aca="false">IF($G24="","",$G24+$H24)</f>
        <v/>
      </c>
      <c r="L24" s="70" t="str">
        <f aca="false">IF($G24="","",$K24-$I24-$J24)</f>
        <v/>
      </c>
      <c r="M24" s="71"/>
      <c r="N24" s="64" t="str">
        <f aca="false">IF(OR($B24="",$M24=""),"",$B24+$M24)</f>
        <v/>
      </c>
      <c r="O24" s="71"/>
      <c r="P24" s="71"/>
    </row>
    <row r="25" customFormat="false" ht="15" hidden="false" customHeight="true" outlineLevel="0" collapsed="false">
      <c r="A25" s="71"/>
      <c r="B25" s="64"/>
      <c r="C25" s="71"/>
      <c r="D25" s="71"/>
      <c r="E25" s="71"/>
      <c r="F25" s="71"/>
      <c r="G25" s="67"/>
      <c r="H25" s="68" t="str">
        <f aca="false">IF($G25="","",$G25*Config!$C$15)</f>
        <v/>
      </c>
      <c r="I25" s="68" t="str">
        <f aca="false">IF($G25="","",IF($E25="Cliente PM - Servicios Profesionales",$G25*Config!$C$16,0))</f>
        <v/>
      </c>
      <c r="J25" s="68" t="str">
        <f aca="false">IF($G25="","",IF($E25="Cliente PM - Servicios Profesionales",$G25*Config!$C$17,IF($E25="Cliente PM - RESICO PF",$G25*Config!$C$18,0)))</f>
        <v/>
      </c>
      <c r="K25" s="69" t="str">
        <f aca="false">IF($G25="","",$G25+$H25)</f>
        <v/>
      </c>
      <c r="L25" s="70" t="str">
        <f aca="false">IF($G25="","",$K25-$I25-$J25)</f>
        <v/>
      </c>
      <c r="M25" s="71"/>
      <c r="N25" s="64" t="str">
        <f aca="false">IF(OR($B25="",$M25=""),"",$B25+$M25)</f>
        <v/>
      </c>
      <c r="O25" s="71"/>
      <c r="P25" s="71"/>
    </row>
    <row r="26" customFormat="false" ht="15" hidden="false" customHeight="true" outlineLevel="0" collapsed="false">
      <c r="A26" s="71"/>
      <c r="B26" s="64"/>
      <c r="C26" s="71"/>
      <c r="D26" s="71"/>
      <c r="E26" s="71"/>
      <c r="F26" s="71"/>
      <c r="G26" s="67"/>
      <c r="H26" s="68" t="str">
        <f aca="false">IF($G26="","",$G26*Config!$C$15)</f>
        <v/>
      </c>
      <c r="I26" s="68" t="str">
        <f aca="false">IF($G26="","",IF($E26="Cliente PM - Servicios Profesionales",$G26*Config!$C$16,0))</f>
        <v/>
      </c>
      <c r="J26" s="68" t="str">
        <f aca="false">IF($G26="","",IF($E26="Cliente PM - Servicios Profesionales",$G26*Config!$C$17,IF($E26="Cliente PM - RESICO PF",$G26*Config!$C$18,0)))</f>
        <v/>
      </c>
      <c r="K26" s="69" t="str">
        <f aca="false">IF($G26="","",$G26+$H26)</f>
        <v/>
      </c>
      <c r="L26" s="70" t="str">
        <f aca="false">IF($G26="","",$K26-$I26-$J26)</f>
        <v/>
      </c>
      <c r="M26" s="71"/>
      <c r="N26" s="64" t="str">
        <f aca="false">IF(OR($B26="",$M26=""),"",$B26+$M26)</f>
        <v/>
      </c>
      <c r="O26" s="71"/>
      <c r="P26" s="71"/>
    </row>
    <row r="27" customFormat="false" ht="15" hidden="false" customHeight="true" outlineLevel="0" collapsed="false">
      <c r="A27" s="71"/>
      <c r="B27" s="64"/>
      <c r="C27" s="71"/>
      <c r="D27" s="71"/>
      <c r="E27" s="71"/>
      <c r="F27" s="71"/>
      <c r="G27" s="67"/>
      <c r="H27" s="68" t="str">
        <f aca="false">IF($G27="","",$G27*Config!$C$15)</f>
        <v/>
      </c>
      <c r="I27" s="68" t="str">
        <f aca="false">IF($G27="","",IF($E27="Cliente PM - Servicios Profesionales",$G27*Config!$C$16,0))</f>
        <v/>
      </c>
      <c r="J27" s="68" t="str">
        <f aca="false">IF($G27="","",IF($E27="Cliente PM - Servicios Profesionales",$G27*Config!$C$17,IF($E27="Cliente PM - RESICO PF",$G27*Config!$C$18,0)))</f>
        <v/>
      </c>
      <c r="K27" s="69" t="str">
        <f aca="false">IF($G27="","",$G27+$H27)</f>
        <v/>
      </c>
      <c r="L27" s="70" t="str">
        <f aca="false">IF($G27="","",$K27-$I27-$J27)</f>
        <v/>
      </c>
      <c r="M27" s="71"/>
      <c r="N27" s="64" t="str">
        <f aca="false">IF(OR($B27="",$M27=""),"",$B27+$M27)</f>
        <v/>
      </c>
      <c r="O27" s="71"/>
      <c r="P27" s="71"/>
    </row>
    <row r="28" customFormat="false" ht="15" hidden="false" customHeight="true" outlineLevel="0" collapsed="false">
      <c r="A28" s="71"/>
      <c r="B28" s="64"/>
      <c r="C28" s="71"/>
      <c r="D28" s="71"/>
      <c r="E28" s="71"/>
      <c r="F28" s="71"/>
      <c r="G28" s="67"/>
      <c r="H28" s="68" t="str">
        <f aca="false">IF($G28="","",$G28*Config!$C$15)</f>
        <v/>
      </c>
      <c r="I28" s="68" t="str">
        <f aca="false">IF($G28="","",IF($E28="Cliente PM - Servicios Profesionales",$G28*Config!$C$16,0))</f>
        <v/>
      </c>
      <c r="J28" s="68" t="str">
        <f aca="false">IF($G28="","",IF($E28="Cliente PM - Servicios Profesionales",$G28*Config!$C$17,IF($E28="Cliente PM - RESICO PF",$G28*Config!$C$18,0)))</f>
        <v/>
      </c>
      <c r="K28" s="69" t="str">
        <f aca="false">IF($G28="","",$G28+$H28)</f>
        <v/>
      </c>
      <c r="L28" s="70" t="str">
        <f aca="false">IF($G28="","",$K28-$I28-$J28)</f>
        <v/>
      </c>
      <c r="M28" s="71"/>
      <c r="N28" s="64" t="str">
        <f aca="false">IF(OR($B28="",$M28=""),"",$B28+$M28)</f>
        <v/>
      </c>
      <c r="O28" s="71"/>
      <c r="P28" s="71"/>
    </row>
    <row r="29" customFormat="false" ht="15" hidden="false" customHeight="true" outlineLevel="0" collapsed="false">
      <c r="A29" s="71"/>
      <c r="B29" s="64"/>
      <c r="C29" s="71"/>
      <c r="D29" s="71"/>
      <c r="E29" s="71"/>
      <c r="F29" s="71"/>
      <c r="G29" s="67"/>
      <c r="H29" s="68" t="str">
        <f aca="false">IF($G29="","",$G29*Config!$C$15)</f>
        <v/>
      </c>
      <c r="I29" s="68" t="str">
        <f aca="false">IF($G29="","",IF($E29="Cliente PM - Servicios Profesionales",$G29*Config!$C$16,0))</f>
        <v/>
      </c>
      <c r="J29" s="68" t="str">
        <f aca="false">IF($G29="","",IF($E29="Cliente PM - Servicios Profesionales",$G29*Config!$C$17,IF($E29="Cliente PM - RESICO PF",$G29*Config!$C$18,0)))</f>
        <v/>
      </c>
      <c r="K29" s="69" t="str">
        <f aca="false">IF($G29="","",$G29+$H29)</f>
        <v/>
      </c>
      <c r="L29" s="70" t="str">
        <f aca="false">IF($G29="","",$K29-$I29-$J29)</f>
        <v/>
      </c>
      <c r="M29" s="71"/>
      <c r="N29" s="64" t="str">
        <f aca="false">IF(OR($B29="",$M29=""),"",$B29+$M29)</f>
        <v/>
      </c>
      <c r="O29" s="71"/>
      <c r="P29" s="71"/>
    </row>
    <row r="30" customFormat="false" ht="15" hidden="false" customHeight="true" outlineLevel="0" collapsed="false">
      <c r="A30" s="71"/>
      <c r="B30" s="64"/>
      <c r="C30" s="71"/>
      <c r="D30" s="71"/>
      <c r="E30" s="71"/>
      <c r="F30" s="71"/>
      <c r="G30" s="67"/>
      <c r="H30" s="68" t="str">
        <f aca="false">IF($G30="","",$G30*Config!$C$15)</f>
        <v/>
      </c>
      <c r="I30" s="68" t="str">
        <f aca="false">IF($G30="","",IF($E30="Cliente PM - Servicios Profesionales",$G30*Config!$C$16,0))</f>
        <v/>
      </c>
      <c r="J30" s="68" t="str">
        <f aca="false">IF($G30="","",IF($E30="Cliente PM - Servicios Profesionales",$G30*Config!$C$17,IF($E30="Cliente PM - RESICO PF",$G30*Config!$C$18,0)))</f>
        <v/>
      </c>
      <c r="K30" s="69" t="str">
        <f aca="false">IF($G30="","",$G30+$H30)</f>
        <v/>
      </c>
      <c r="L30" s="70" t="str">
        <f aca="false">IF($G30="","",$K30-$I30-$J30)</f>
        <v/>
      </c>
      <c r="M30" s="71"/>
      <c r="N30" s="64" t="str">
        <f aca="false">IF(OR($B30="",$M30=""),"",$B30+$M30)</f>
        <v/>
      </c>
      <c r="O30" s="71"/>
      <c r="P30" s="71"/>
    </row>
    <row r="31" customFormat="false" ht="15" hidden="false" customHeight="true" outlineLevel="0" collapsed="false">
      <c r="A31" s="71"/>
      <c r="B31" s="64"/>
      <c r="C31" s="71"/>
      <c r="D31" s="71"/>
      <c r="E31" s="71"/>
      <c r="F31" s="71"/>
      <c r="G31" s="67"/>
      <c r="H31" s="68" t="str">
        <f aca="false">IF($G31="","",$G31*Config!$C$15)</f>
        <v/>
      </c>
      <c r="I31" s="68" t="str">
        <f aca="false">IF($G31="","",IF($E31="Cliente PM - Servicios Profesionales",$G31*Config!$C$16,0))</f>
        <v/>
      </c>
      <c r="J31" s="68" t="str">
        <f aca="false">IF($G31="","",IF($E31="Cliente PM - Servicios Profesionales",$G31*Config!$C$17,IF($E31="Cliente PM - RESICO PF",$G31*Config!$C$18,0)))</f>
        <v/>
      </c>
      <c r="K31" s="69" t="str">
        <f aca="false">IF($G31="","",$G31+$H31)</f>
        <v/>
      </c>
      <c r="L31" s="70" t="str">
        <f aca="false">IF($G31="","",$K31-$I31-$J31)</f>
        <v/>
      </c>
      <c r="M31" s="71"/>
      <c r="N31" s="64" t="str">
        <f aca="false">IF(OR($B31="",$M31=""),"",$B31+$M31)</f>
        <v/>
      </c>
      <c r="O31" s="71"/>
      <c r="P31" s="71"/>
    </row>
    <row r="32" customFormat="false" ht="15" hidden="false" customHeight="true" outlineLevel="0" collapsed="false">
      <c r="A32" s="71"/>
      <c r="B32" s="64"/>
      <c r="C32" s="71"/>
      <c r="D32" s="71"/>
      <c r="E32" s="71"/>
      <c r="F32" s="71"/>
      <c r="G32" s="67"/>
      <c r="H32" s="68" t="str">
        <f aca="false">IF($G32="","",$G32*Config!$C$15)</f>
        <v/>
      </c>
      <c r="I32" s="68" t="str">
        <f aca="false">IF($G32="","",IF($E32="Cliente PM - Servicios Profesionales",$G32*Config!$C$16,0))</f>
        <v/>
      </c>
      <c r="J32" s="68" t="str">
        <f aca="false">IF($G32="","",IF($E32="Cliente PM - Servicios Profesionales",$G32*Config!$C$17,IF($E32="Cliente PM - RESICO PF",$G32*Config!$C$18,0)))</f>
        <v/>
      </c>
      <c r="K32" s="69" t="str">
        <f aca="false">IF($G32="","",$G32+$H32)</f>
        <v/>
      </c>
      <c r="L32" s="70" t="str">
        <f aca="false">IF($G32="","",$K32-$I32-$J32)</f>
        <v/>
      </c>
      <c r="M32" s="71"/>
      <c r="N32" s="64" t="str">
        <f aca="false">IF(OR($B32="",$M32=""),"",$B32+$M32)</f>
        <v/>
      </c>
      <c r="O32" s="71"/>
      <c r="P32" s="71"/>
    </row>
    <row r="33" customFormat="false" ht="15" hidden="false" customHeight="true" outlineLevel="0" collapsed="false">
      <c r="A33" s="71"/>
      <c r="B33" s="64"/>
      <c r="C33" s="71"/>
      <c r="D33" s="71"/>
      <c r="E33" s="71"/>
      <c r="F33" s="71"/>
      <c r="G33" s="67"/>
      <c r="H33" s="68" t="str">
        <f aca="false">IF($G33="","",$G33*Config!$C$15)</f>
        <v/>
      </c>
      <c r="I33" s="68" t="str">
        <f aca="false">IF($G33="","",IF($E33="Cliente PM - Servicios Profesionales",$G33*Config!$C$16,0))</f>
        <v/>
      </c>
      <c r="J33" s="68" t="str">
        <f aca="false">IF($G33="","",IF($E33="Cliente PM - Servicios Profesionales",$G33*Config!$C$17,IF($E33="Cliente PM - RESICO PF",$G33*Config!$C$18,0)))</f>
        <v/>
      </c>
      <c r="K33" s="69" t="str">
        <f aca="false">IF($G33="","",$G33+$H33)</f>
        <v/>
      </c>
      <c r="L33" s="70" t="str">
        <f aca="false">IF($G33="","",$K33-$I33-$J33)</f>
        <v/>
      </c>
      <c r="M33" s="71"/>
      <c r="N33" s="64" t="str">
        <f aca="false">IF(OR($B33="",$M33=""),"",$B33+$M33)</f>
        <v/>
      </c>
      <c r="O33" s="71"/>
      <c r="P33" s="71"/>
    </row>
    <row r="34" customFormat="false" ht="15" hidden="false" customHeight="true" outlineLevel="0" collapsed="false">
      <c r="A34" s="71"/>
      <c r="B34" s="64"/>
      <c r="C34" s="71"/>
      <c r="D34" s="71"/>
      <c r="E34" s="71"/>
      <c r="F34" s="71"/>
      <c r="G34" s="67"/>
      <c r="H34" s="68" t="str">
        <f aca="false">IF($G34="","",$G34*Config!$C$15)</f>
        <v/>
      </c>
      <c r="I34" s="68" t="str">
        <f aca="false">IF($G34="","",IF($E34="Cliente PM - Servicios Profesionales",$G34*Config!$C$16,0))</f>
        <v/>
      </c>
      <c r="J34" s="68" t="str">
        <f aca="false">IF($G34="","",IF($E34="Cliente PM - Servicios Profesionales",$G34*Config!$C$17,IF($E34="Cliente PM - RESICO PF",$G34*Config!$C$18,0)))</f>
        <v/>
      </c>
      <c r="K34" s="69" t="str">
        <f aca="false">IF($G34="","",$G34+$H34)</f>
        <v/>
      </c>
      <c r="L34" s="70" t="str">
        <f aca="false">IF($G34="","",$K34-$I34-$J34)</f>
        <v/>
      </c>
      <c r="M34" s="71"/>
      <c r="N34" s="64" t="str">
        <f aca="false">IF(OR($B34="",$M34=""),"",$B34+$M34)</f>
        <v/>
      </c>
      <c r="O34" s="71"/>
      <c r="P34" s="71"/>
    </row>
    <row r="35" customFormat="false" ht="15" hidden="false" customHeight="true" outlineLevel="0" collapsed="false">
      <c r="A35" s="71"/>
      <c r="B35" s="64"/>
      <c r="C35" s="71"/>
      <c r="D35" s="71"/>
      <c r="E35" s="71"/>
      <c r="F35" s="71"/>
      <c r="G35" s="67"/>
      <c r="H35" s="68" t="str">
        <f aca="false">IF($G35="","",$G35*Config!$C$15)</f>
        <v/>
      </c>
      <c r="I35" s="68" t="str">
        <f aca="false">IF($G35="","",IF($E35="Cliente PM - Servicios Profesionales",$G35*Config!$C$16,0))</f>
        <v/>
      </c>
      <c r="J35" s="68" t="str">
        <f aca="false">IF($G35="","",IF($E35="Cliente PM - Servicios Profesionales",$G35*Config!$C$17,IF($E35="Cliente PM - RESICO PF",$G35*Config!$C$18,0)))</f>
        <v/>
      </c>
      <c r="K35" s="69" t="str">
        <f aca="false">IF($G35="","",$G35+$H35)</f>
        <v/>
      </c>
      <c r="L35" s="70" t="str">
        <f aca="false">IF($G35="","",$K35-$I35-$J35)</f>
        <v/>
      </c>
      <c r="M35" s="71"/>
      <c r="N35" s="64" t="str">
        <f aca="false">IF(OR($B35="",$M35=""),"",$B35+$M35)</f>
        <v/>
      </c>
      <c r="O35" s="71"/>
      <c r="P35" s="71"/>
    </row>
    <row r="36" customFormat="false" ht="15" hidden="false" customHeight="true" outlineLevel="0" collapsed="false">
      <c r="A36" s="71"/>
      <c r="B36" s="64"/>
      <c r="C36" s="71"/>
      <c r="D36" s="71"/>
      <c r="E36" s="71"/>
      <c r="F36" s="71"/>
      <c r="G36" s="67"/>
      <c r="H36" s="68" t="str">
        <f aca="false">IF($G36="","",$G36*Config!$C$15)</f>
        <v/>
      </c>
      <c r="I36" s="68" t="str">
        <f aca="false">IF($G36="","",IF($E36="Cliente PM - Servicios Profesionales",$G36*Config!$C$16,0))</f>
        <v/>
      </c>
      <c r="J36" s="68" t="str">
        <f aca="false">IF($G36="","",IF($E36="Cliente PM - Servicios Profesionales",$G36*Config!$C$17,IF($E36="Cliente PM - RESICO PF",$G36*Config!$C$18,0)))</f>
        <v/>
      </c>
      <c r="K36" s="69" t="str">
        <f aca="false">IF($G36="","",$G36+$H36)</f>
        <v/>
      </c>
      <c r="L36" s="70" t="str">
        <f aca="false">IF($G36="","",$K36-$I36-$J36)</f>
        <v/>
      </c>
      <c r="M36" s="71"/>
      <c r="N36" s="64" t="str">
        <f aca="false">IF(OR($B36="",$M36=""),"",$B36+$M36)</f>
        <v/>
      </c>
      <c r="O36" s="71"/>
      <c r="P36" s="71"/>
    </row>
    <row r="37" customFormat="false" ht="15" hidden="false" customHeight="true" outlineLevel="0" collapsed="false">
      <c r="A37" s="71"/>
      <c r="B37" s="64"/>
      <c r="C37" s="71"/>
      <c r="D37" s="71"/>
      <c r="E37" s="71"/>
      <c r="F37" s="71"/>
      <c r="G37" s="67"/>
      <c r="H37" s="68" t="str">
        <f aca="false">IF($G37="","",$G37*Config!$C$15)</f>
        <v/>
      </c>
      <c r="I37" s="68" t="str">
        <f aca="false">IF($G37="","",IF($E37="Cliente PM - Servicios Profesionales",$G37*Config!$C$16,0))</f>
        <v/>
      </c>
      <c r="J37" s="68" t="str">
        <f aca="false">IF($G37="","",IF($E37="Cliente PM - Servicios Profesionales",$G37*Config!$C$17,IF($E37="Cliente PM - RESICO PF",$G37*Config!$C$18,0)))</f>
        <v/>
      </c>
      <c r="K37" s="69" t="str">
        <f aca="false">IF($G37="","",$G37+$H37)</f>
        <v/>
      </c>
      <c r="L37" s="70" t="str">
        <f aca="false">IF($G37="","",$K37-$I37-$J37)</f>
        <v/>
      </c>
      <c r="M37" s="71"/>
      <c r="N37" s="64" t="str">
        <f aca="false">IF(OR($B37="",$M37=""),"",$B37+$M37)</f>
        <v/>
      </c>
      <c r="O37" s="71"/>
      <c r="P37" s="71"/>
    </row>
    <row r="38" customFormat="false" ht="15" hidden="false" customHeight="true" outlineLevel="0" collapsed="false">
      <c r="A38" s="71"/>
      <c r="B38" s="64"/>
      <c r="C38" s="71"/>
      <c r="D38" s="71"/>
      <c r="E38" s="71"/>
      <c r="F38" s="71"/>
      <c r="G38" s="67"/>
      <c r="H38" s="68" t="str">
        <f aca="false">IF($G38="","",$G38*Config!$C$15)</f>
        <v/>
      </c>
      <c r="I38" s="68" t="str">
        <f aca="false">IF($G38="","",IF($E38="Cliente PM - Servicios Profesionales",$G38*Config!$C$16,0))</f>
        <v/>
      </c>
      <c r="J38" s="68" t="str">
        <f aca="false">IF($G38="","",IF($E38="Cliente PM - Servicios Profesionales",$G38*Config!$C$17,IF($E38="Cliente PM - RESICO PF",$G38*Config!$C$18,0)))</f>
        <v/>
      </c>
      <c r="K38" s="69" t="str">
        <f aca="false">IF($G38="","",$G38+$H38)</f>
        <v/>
      </c>
      <c r="L38" s="70" t="str">
        <f aca="false">IF($G38="","",$K38-$I38-$J38)</f>
        <v/>
      </c>
      <c r="M38" s="71"/>
      <c r="N38" s="64" t="str">
        <f aca="false">IF(OR($B38="",$M38=""),"",$B38+$M38)</f>
        <v/>
      </c>
      <c r="O38" s="71"/>
      <c r="P38" s="71"/>
    </row>
    <row r="39" customFormat="false" ht="15" hidden="false" customHeight="true" outlineLevel="0" collapsed="false">
      <c r="A39" s="71"/>
      <c r="B39" s="64"/>
      <c r="C39" s="71"/>
      <c r="D39" s="71"/>
      <c r="E39" s="71"/>
      <c r="F39" s="71"/>
      <c r="G39" s="67"/>
      <c r="H39" s="68" t="str">
        <f aca="false">IF($G39="","",$G39*Config!$C$15)</f>
        <v/>
      </c>
      <c r="I39" s="68" t="str">
        <f aca="false">IF($G39="","",IF($E39="Cliente PM - Servicios Profesionales",$G39*Config!$C$16,0))</f>
        <v/>
      </c>
      <c r="J39" s="68" t="str">
        <f aca="false">IF($G39="","",IF($E39="Cliente PM - Servicios Profesionales",$G39*Config!$C$17,IF($E39="Cliente PM - RESICO PF",$G39*Config!$C$18,0)))</f>
        <v/>
      </c>
      <c r="K39" s="69" t="str">
        <f aca="false">IF($G39="","",$G39+$H39)</f>
        <v/>
      </c>
      <c r="L39" s="70" t="str">
        <f aca="false">IF($G39="","",$K39-$I39-$J39)</f>
        <v/>
      </c>
      <c r="M39" s="71"/>
      <c r="N39" s="64" t="str">
        <f aca="false">IF(OR($B39="",$M39=""),"",$B39+$M39)</f>
        <v/>
      </c>
      <c r="O39" s="71"/>
      <c r="P39" s="71"/>
    </row>
    <row r="40" customFormat="false" ht="15" hidden="false" customHeight="true" outlineLevel="0" collapsed="false">
      <c r="A40" s="71"/>
      <c r="B40" s="64"/>
      <c r="C40" s="71"/>
      <c r="D40" s="71"/>
      <c r="E40" s="71"/>
      <c r="F40" s="71"/>
      <c r="G40" s="67"/>
      <c r="H40" s="68" t="str">
        <f aca="false">IF($G40="","",$G40*Config!$C$15)</f>
        <v/>
      </c>
      <c r="I40" s="68" t="str">
        <f aca="false">IF($G40="","",IF($E40="Cliente PM - Servicios Profesionales",$G40*Config!$C$16,0))</f>
        <v/>
      </c>
      <c r="J40" s="68" t="str">
        <f aca="false">IF($G40="","",IF($E40="Cliente PM - Servicios Profesionales",$G40*Config!$C$17,IF($E40="Cliente PM - RESICO PF",$G40*Config!$C$18,0)))</f>
        <v/>
      </c>
      <c r="K40" s="69" t="str">
        <f aca="false">IF($G40="","",$G40+$H40)</f>
        <v/>
      </c>
      <c r="L40" s="70" t="str">
        <f aca="false">IF($G40="","",$K40-$I40-$J40)</f>
        <v/>
      </c>
      <c r="M40" s="71"/>
      <c r="N40" s="64" t="str">
        <f aca="false">IF(OR($B40="",$M40=""),"",$B40+$M40)</f>
        <v/>
      </c>
      <c r="O40" s="71"/>
      <c r="P40" s="71"/>
    </row>
    <row r="41" customFormat="false" ht="15" hidden="false" customHeight="true" outlineLevel="0" collapsed="false">
      <c r="A41" s="71"/>
      <c r="B41" s="64"/>
      <c r="C41" s="71"/>
      <c r="D41" s="71"/>
      <c r="E41" s="71"/>
      <c r="F41" s="71"/>
      <c r="G41" s="67"/>
      <c r="H41" s="68" t="str">
        <f aca="false">IF($G41="","",$G41*Config!$C$15)</f>
        <v/>
      </c>
      <c r="I41" s="68" t="str">
        <f aca="false">IF($G41="","",IF($E41="Cliente PM - Servicios Profesionales",$G41*Config!$C$16,0))</f>
        <v/>
      </c>
      <c r="J41" s="68" t="str">
        <f aca="false">IF($G41="","",IF($E41="Cliente PM - Servicios Profesionales",$G41*Config!$C$17,IF($E41="Cliente PM - RESICO PF",$G41*Config!$C$18,0)))</f>
        <v/>
      </c>
      <c r="K41" s="69" t="str">
        <f aca="false">IF($G41="","",$G41+$H41)</f>
        <v/>
      </c>
      <c r="L41" s="70" t="str">
        <f aca="false">IF($G41="","",$K41-$I41-$J41)</f>
        <v/>
      </c>
      <c r="M41" s="71"/>
      <c r="N41" s="64" t="str">
        <f aca="false">IF(OR($B41="",$M41=""),"",$B41+$M41)</f>
        <v/>
      </c>
      <c r="O41" s="71"/>
      <c r="P41" s="71"/>
    </row>
    <row r="42" customFormat="false" ht="15" hidden="false" customHeight="true" outlineLevel="0" collapsed="false">
      <c r="A42" s="71"/>
      <c r="B42" s="64"/>
      <c r="C42" s="71"/>
      <c r="D42" s="71"/>
      <c r="E42" s="71"/>
      <c r="F42" s="71"/>
      <c r="G42" s="67"/>
      <c r="H42" s="68" t="str">
        <f aca="false">IF($G42="","",$G42*Config!$C$15)</f>
        <v/>
      </c>
      <c r="I42" s="68" t="str">
        <f aca="false">IF($G42="","",IF($E42="Cliente PM - Servicios Profesionales",$G42*Config!$C$16,0))</f>
        <v/>
      </c>
      <c r="J42" s="68" t="str">
        <f aca="false">IF($G42="","",IF($E42="Cliente PM - Servicios Profesionales",$G42*Config!$C$17,IF($E42="Cliente PM - RESICO PF",$G42*Config!$C$18,0)))</f>
        <v/>
      </c>
      <c r="K42" s="69" t="str">
        <f aca="false">IF($G42="","",$G42+$H42)</f>
        <v/>
      </c>
      <c r="L42" s="70" t="str">
        <f aca="false">IF($G42="","",$K42-$I42-$J42)</f>
        <v/>
      </c>
      <c r="M42" s="71"/>
      <c r="N42" s="64" t="str">
        <f aca="false">IF(OR($B42="",$M42=""),"",$B42+$M42)</f>
        <v/>
      </c>
      <c r="O42" s="71"/>
      <c r="P42" s="71"/>
    </row>
    <row r="43" customFormat="false" ht="15" hidden="false" customHeight="true" outlineLevel="0" collapsed="false">
      <c r="A43" s="71"/>
      <c r="B43" s="64"/>
      <c r="C43" s="71"/>
      <c r="D43" s="71"/>
      <c r="E43" s="71"/>
      <c r="F43" s="71"/>
      <c r="G43" s="67"/>
      <c r="H43" s="68" t="str">
        <f aca="false">IF($G43="","",$G43*Config!$C$15)</f>
        <v/>
      </c>
      <c r="I43" s="68" t="str">
        <f aca="false">IF($G43="","",IF($E43="Cliente PM - Servicios Profesionales",$G43*Config!$C$16,0))</f>
        <v/>
      </c>
      <c r="J43" s="68" t="str">
        <f aca="false">IF($G43="","",IF($E43="Cliente PM - Servicios Profesionales",$G43*Config!$C$17,IF($E43="Cliente PM - RESICO PF",$G43*Config!$C$18,0)))</f>
        <v/>
      </c>
      <c r="K43" s="69" t="str">
        <f aca="false">IF($G43="","",$G43+$H43)</f>
        <v/>
      </c>
      <c r="L43" s="70" t="str">
        <f aca="false">IF($G43="","",$K43-$I43-$J43)</f>
        <v/>
      </c>
      <c r="M43" s="71"/>
      <c r="N43" s="64" t="str">
        <f aca="false">IF(OR($B43="",$M43=""),"",$B43+$M43)</f>
        <v/>
      </c>
      <c r="O43" s="71"/>
      <c r="P43" s="71"/>
    </row>
    <row r="44" customFormat="false" ht="15" hidden="false" customHeight="true" outlineLevel="0" collapsed="false">
      <c r="A44" s="71"/>
      <c r="B44" s="64"/>
      <c r="C44" s="71"/>
      <c r="D44" s="71"/>
      <c r="E44" s="71"/>
      <c r="F44" s="71"/>
      <c r="G44" s="67"/>
      <c r="H44" s="68" t="str">
        <f aca="false">IF($G44="","",$G44*Config!$C$15)</f>
        <v/>
      </c>
      <c r="I44" s="68" t="str">
        <f aca="false">IF($G44="","",IF($E44="Cliente PM - Servicios Profesionales",$G44*Config!$C$16,0))</f>
        <v/>
      </c>
      <c r="J44" s="68" t="str">
        <f aca="false">IF($G44="","",IF($E44="Cliente PM - Servicios Profesionales",$G44*Config!$C$17,IF($E44="Cliente PM - RESICO PF",$G44*Config!$C$18,0)))</f>
        <v/>
      </c>
      <c r="K44" s="69" t="str">
        <f aca="false">IF($G44="","",$G44+$H44)</f>
        <v/>
      </c>
      <c r="L44" s="70" t="str">
        <f aca="false">IF($G44="","",$K44-$I44-$J44)</f>
        <v/>
      </c>
      <c r="M44" s="71"/>
      <c r="N44" s="64" t="str">
        <f aca="false">IF(OR($B44="",$M44=""),"",$B44+$M44)</f>
        <v/>
      </c>
      <c r="O44" s="71"/>
      <c r="P44" s="71"/>
    </row>
    <row r="45" customFormat="false" ht="15" hidden="false" customHeight="true" outlineLevel="0" collapsed="false">
      <c r="A45" s="71"/>
      <c r="B45" s="64"/>
      <c r="C45" s="71"/>
      <c r="D45" s="71"/>
      <c r="E45" s="71"/>
      <c r="F45" s="71"/>
      <c r="G45" s="67"/>
      <c r="H45" s="68" t="str">
        <f aca="false">IF($G45="","",$G45*Config!$C$15)</f>
        <v/>
      </c>
      <c r="I45" s="68" t="str">
        <f aca="false">IF($G45="","",IF($E45="Cliente PM - Servicios Profesionales",$G45*Config!$C$16,0))</f>
        <v/>
      </c>
      <c r="J45" s="68" t="str">
        <f aca="false">IF($G45="","",IF($E45="Cliente PM - Servicios Profesionales",$G45*Config!$C$17,IF($E45="Cliente PM - RESICO PF",$G45*Config!$C$18,0)))</f>
        <v/>
      </c>
      <c r="K45" s="69" t="str">
        <f aca="false">IF($G45="","",$G45+$H45)</f>
        <v/>
      </c>
      <c r="L45" s="70" t="str">
        <f aca="false">IF($G45="","",$K45-$I45-$J45)</f>
        <v/>
      </c>
      <c r="M45" s="71"/>
      <c r="N45" s="64" t="str">
        <f aca="false">IF(OR($B45="",$M45=""),"",$B45+$M45)</f>
        <v/>
      </c>
      <c r="O45" s="71"/>
      <c r="P45" s="71"/>
    </row>
    <row r="46" customFormat="false" ht="15" hidden="false" customHeight="true" outlineLevel="0" collapsed="false">
      <c r="A46" s="71"/>
      <c r="B46" s="64"/>
      <c r="C46" s="71"/>
      <c r="D46" s="71"/>
      <c r="E46" s="71"/>
      <c r="F46" s="71"/>
      <c r="G46" s="67"/>
      <c r="H46" s="68" t="str">
        <f aca="false">IF($G46="","",$G46*Config!$C$15)</f>
        <v/>
      </c>
      <c r="I46" s="68" t="str">
        <f aca="false">IF($G46="","",IF($E46="Cliente PM - Servicios Profesionales",$G46*Config!$C$16,0))</f>
        <v/>
      </c>
      <c r="J46" s="68" t="str">
        <f aca="false">IF($G46="","",IF($E46="Cliente PM - Servicios Profesionales",$G46*Config!$C$17,IF($E46="Cliente PM - RESICO PF",$G46*Config!$C$18,0)))</f>
        <v/>
      </c>
      <c r="K46" s="69" t="str">
        <f aca="false">IF($G46="","",$G46+$H46)</f>
        <v/>
      </c>
      <c r="L46" s="70" t="str">
        <f aca="false">IF($G46="","",$K46-$I46-$J46)</f>
        <v/>
      </c>
      <c r="M46" s="71"/>
      <c r="N46" s="64" t="str">
        <f aca="false">IF(OR($B46="",$M46=""),"",$B46+$M46)</f>
        <v/>
      </c>
      <c r="O46" s="71"/>
      <c r="P46" s="71"/>
    </row>
    <row r="47" customFormat="false" ht="15" hidden="false" customHeight="true" outlineLevel="0" collapsed="false">
      <c r="A47" s="71"/>
      <c r="B47" s="64"/>
      <c r="C47" s="71"/>
      <c r="D47" s="71"/>
      <c r="E47" s="71"/>
      <c r="F47" s="71"/>
      <c r="G47" s="67"/>
      <c r="H47" s="68" t="str">
        <f aca="false">IF($G47="","",$G47*Config!$C$15)</f>
        <v/>
      </c>
      <c r="I47" s="68" t="str">
        <f aca="false">IF($G47="","",IF($E47="Cliente PM - Servicios Profesionales",$G47*Config!$C$16,0))</f>
        <v/>
      </c>
      <c r="J47" s="68" t="str">
        <f aca="false">IF($G47="","",IF($E47="Cliente PM - Servicios Profesionales",$G47*Config!$C$17,IF($E47="Cliente PM - RESICO PF",$G47*Config!$C$18,0)))</f>
        <v/>
      </c>
      <c r="K47" s="69" t="str">
        <f aca="false">IF($G47="","",$G47+$H47)</f>
        <v/>
      </c>
      <c r="L47" s="70" t="str">
        <f aca="false">IF($G47="","",$K47-$I47-$J47)</f>
        <v/>
      </c>
      <c r="M47" s="71"/>
      <c r="N47" s="64" t="str">
        <f aca="false">IF(OR($B47="",$M47=""),"",$B47+$M47)</f>
        <v/>
      </c>
      <c r="O47" s="71"/>
      <c r="P47" s="71"/>
    </row>
    <row r="48" customFormat="false" ht="15" hidden="false" customHeight="true" outlineLevel="0" collapsed="false">
      <c r="A48" s="71"/>
      <c r="B48" s="64"/>
      <c r="C48" s="71"/>
      <c r="D48" s="71"/>
      <c r="E48" s="71"/>
      <c r="F48" s="71"/>
      <c r="G48" s="67"/>
      <c r="H48" s="68" t="str">
        <f aca="false">IF($G48="","",$G48*Config!$C$15)</f>
        <v/>
      </c>
      <c r="I48" s="68" t="str">
        <f aca="false">IF($G48="","",IF($E48="Cliente PM - Servicios Profesionales",$G48*Config!$C$16,0))</f>
        <v/>
      </c>
      <c r="J48" s="68" t="str">
        <f aca="false">IF($G48="","",IF($E48="Cliente PM - Servicios Profesionales",$G48*Config!$C$17,IF($E48="Cliente PM - RESICO PF",$G48*Config!$C$18,0)))</f>
        <v/>
      </c>
      <c r="K48" s="69" t="str">
        <f aca="false">IF($G48="","",$G48+$H48)</f>
        <v/>
      </c>
      <c r="L48" s="70" t="str">
        <f aca="false">IF($G48="","",$K48-$I48-$J48)</f>
        <v/>
      </c>
      <c r="M48" s="71"/>
      <c r="N48" s="64" t="str">
        <f aca="false">IF(OR($B48="",$M48=""),"",$B48+$M48)</f>
        <v/>
      </c>
      <c r="O48" s="71"/>
      <c r="P48" s="71"/>
    </row>
    <row r="49" customFormat="false" ht="15" hidden="false" customHeight="true" outlineLevel="0" collapsed="false">
      <c r="A49" s="71"/>
      <c r="B49" s="64"/>
      <c r="C49" s="71"/>
      <c r="D49" s="71"/>
      <c r="E49" s="71"/>
      <c r="F49" s="71"/>
      <c r="G49" s="67"/>
      <c r="H49" s="68" t="str">
        <f aca="false">IF($G49="","",$G49*Config!$C$15)</f>
        <v/>
      </c>
      <c r="I49" s="68" t="str">
        <f aca="false">IF($G49="","",IF($E49="Cliente PM - Servicios Profesionales",$G49*Config!$C$16,0))</f>
        <v/>
      </c>
      <c r="J49" s="68" t="str">
        <f aca="false">IF($G49="","",IF($E49="Cliente PM - Servicios Profesionales",$G49*Config!$C$17,IF($E49="Cliente PM - RESICO PF",$G49*Config!$C$18,0)))</f>
        <v/>
      </c>
      <c r="K49" s="69" t="str">
        <f aca="false">IF($G49="","",$G49+$H49)</f>
        <v/>
      </c>
      <c r="L49" s="70" t="str">
        <f aca="false">IF($G49="","",$K49-$I49-$J49)</f>
        <v/>
      </c>
      <c r="M49" s="71"/>
      <c r="N49" s="64" t="str">
        <f aca="false">IF(OR($B49="",$M49=""),"",$B49+$M49)</f>
        <v/>
      </c>
      <c r="O49" s="71"/>
      <c r="P49" s="71"/>
    </row>
    <row r="50" customFormat="false" ht="15" hidden="false" customHeight="true" outlineLevel="0" collapsed="false">
      <c r="A50" s="71"/>
      <c r="B50" s="64"/>
      <c r="C50" s="71"/>
      <c r="D50" s="71"/>
      <c r="E50" s="71"/>
      <c r="F50" s="71"/>
      <c r="G50" s="67"/>
      <c r="H50" s="68" t="str">
        <f aca="false">IF($G50="","",$G50*Config!$C$15)</f>
        <v/>
      </c>
      <c r="I50" s="68" t="str">
        <f aca="false">IF($G50="","",IF($E50="Cliente PM - Servicios Profesionales",$G50*Config!$C$16,0))</f>
        <v/>
      </c>
      <c r="J50" s="68" t="str">
        <f aca="false">IF($G50="","",IF($E50="Cliente PM - Servicios Profesionales",$G50*Config!$C$17,IF($E50="Cliente PM - RESICO PF",$G50*Config!$C$18,0)))</f>
        <v/>
      </c>
      <c r="K50" s="69" t="str">
        <f aca="false">IF($G50="","",$G50+$H50)</f>
        <v/>
      </c>
      <c r="L50" s="70" t="str">
        <f aca="false">IF($G50="","",$K50-$I50-$J50)</f>
        <v/>
      </c>
      <c r="M50" s="71"/>
      <c r="N50" s="64" t="str">
        <f aca="false">IF(OR($B50="",$M50=""),"",$B50+$M50)</f>
        <v/>
      </c>
      <c r="O50" s="71"/>
      <c r="P50" s="71"/>
    </row>
    <row r="51" customFormat="false" ht="15" hidden="false" customHeight="true" outlineLevel="0" collapsed="false">
      <c r="A51" s="71"/>
      <c r="B51" s="64"/>
      <c r="C51" s="71"/>
      <c r="D51" s="71"/>
      <c r="E51" s="71"/>
      <c r="F51" s="71"/>
      <c r="G51" s="67"/>
      <c r="H51" s="68" t="str">
        <f aca="false">IF($G51="","",$G51*Config!$C$15)</f>
        <v/>
      </c>
      <c r="I51" s="68" t="str">
        <f aca="false">IF($G51="","",IF($E51="Cliente PM - Servicios Profesionales",$G51*Config!$C$16,0))</f>
        <v/>
      </c>
      <c r="J51" s="68" t="str">
        <f aca="false">IF($G51="","",IF($E51="Cliente PM - Servicios Profesionales",$G51*Config!$C$17,IF($E51="Cliente PM - RESICO PF",$G51*Config!$C$18,0)))</f>
        <v/>
      </c>
      <c r="K51" s="69" t="str">
        <f aca="false">IF($G51="","",$G51+$H51)</f>
        <v/>
      </c>
      <c r="L51" s="70" t="str">
        <f aca="false">IF($G51="","",$K51-$I51-$J51)</f>
        <v/>
      </c>
      <c r="M51" s="71"/>
      <c r="N51" s="64" t="str">
        <f aca="false">IF(OR($B51="",$M51=""),"",$B51+$M51)</f>
        <v/>
      </c>
      <c r="O51" s="71"/>
      <c r="P51" s="71"/>
    </row>
    <row r="52" customFormat="false" ht="15" hidden="false" customHeight="true" outlineLevel="0" collapsed="false">
      <c r="A52" s="71"/>
      <c r="B52" s="64"/>
      <c r="C52" s="71"/>
      <c r="D52" s="71"/>
      <c r="E52" s="71"/>
      <c r="F52" s="71"/>
      <c r="G52" s="67"/>
      <c r="H52" s="68" t="str">
        <f aca="false">IF($G52="","",$G52*Config!$C$15)</f>
        <v/>
      </c>
      <c r="I52" s="68" t="str">
        <f aca="false">IF($G52="","",IF($E52="Cliente PM - Servicios Profesionales",$G52*Config!$C$16,0))</f>
        <v/>
      </c>
      <c r="J52" s="68" t="str">
        <f aca="false">IF($G52="","",IF($E52="Cliente PM - Servicios Profesionales",$G52*Config!$C$17,IF($E52="Cliente PM - RESICO PF",$G52*Config!$C$18,0)))</f>
        <v/>
      </c>
      <c r="K52" s="69" t="str">
        <f aca="false">IF($G52="","",$G52+$H52)</f>
        <v/>
      </c>
      <c r="L52" s="70" t="str">
        <f aca="false">IF($G52="","",$K52-$I52-$J52)</f>
        <v/>
      </c>
      <c r="M52" s="71"/>
      <c r="N52" s="64" t="str">
        <f aca="false">IF(OR($B52="",$M52=""),"",$B52+$M52)</f>
        <v/>
      </c>
      <c r="O52" s="71"/>
      <c r="P52" s="71"/>
    </row>
    <row r="53" customFormat="false" ht="15" hidden="false" customHeight="true" outlineLevel="0" collapsed="false">
      <c r="A53" s="71"/>
      <c r="B53" s="64"/>
      <c r="C53" s="71"/>
      <c r="D53" s="71"/>
      <c r="E53" s="71"/>
      <c r="F53" s="71"/>
      <c r="G53" s="67"/>
      <c r="H53" s="68" t="str">
        <f aca="false">IF($G53="","",$G53*Config!$C$15)</f>
        <v/>
      </c>
      <c r="I53" s="68" t="str">
        <f aca="false">IF($G53="","",IF($E53="Cliente PM - Servicios Profesionales",$G53*Config!$C$16,0))</f>
        <v/>
      </c>
      <c r="J53" s="68" t="str">
        <f aca="false">IF($G53="","",IF($E53="Cliente PM - Servicios Profesionales",$G53*Config!$C$17,IF($E53="Cliente PM - RESICO PF",$G53*Config!$C$18,0)))</f>
        <v/>
      </c>
      <c r="K53" s="69" t="str">
        <f aca="false">IF($G53="","",$G53+$H53)</f>
        <v/>
      </c>
      <c r="L53" s="70" t="str">
        <f aca="false">IF($G53="","",$K53-$I53-$J53)</f>
        <v/>
      </c>
      <c r="M53" s="71"/>
      <c r="N53" s="64" t="str">
        <f aca="false">IF(OR($B53="",$M53=""),"",$B53+$M53)</f>
        <v/>
      </c>
      <c r="O53" s="71"/>
      <c r="P53" s="71"/>
    </row>
    <row r="54" customFormat="false" ht="15" hidden="false" customHeight="true" outlineLevel="0" collapsed="false">
      <c r="A54" s="71"/>
      <c r="B54" s="64"/>
      <c r="C54" s="71"/>
      <c r="D54" s="71"/>
      <c r="E54" s="71"/>
      <c r="F54" s="71"/>
      <c r="G54" s="67"/>
      <c r="H54" s="68" t="str">
        <f aca="false">IF($G54="","",$G54*Config!$C$15)</f>
        <v/>
      </c>
      <c r="I54" s="68" t="str">
        <f aca="false">IF($G54="","",IF($E54="Cliente PM - Servicios Profesionales",$G54*Config!$C$16,0))</f>
        <v/>
      </c>
      <c r="J54" s="68" t="str">
        <f aca="false">IF($G54="","",IF($E54="Cliente PM - Servicios Profesionales",$G54*Config!$C$17,IF($E54="Cliente PM - RESICO PF",$G54*Config!$C$18,0)))</f>
        <v/>
      </c>
      <c r="K54" s="69" t="str">
        <f aca="false">IF($G54="","",$G54+$H54)</f>
        <v/>
      </c>
      <c r="L54" s="70" t="str">
        <f aca="false">IF($G54="","",$K54-$I54-$J54)</f>
        <v/>
      </c>
      <c r="M54" s="71"/>
      <c r="N54" s="64" t="str">
        <f aca="false">IF(OR($B54="",$M54=""),"",$B54+$M54)</f>
        <v/>
      </c>
      <c r="O54" s="71"/>
      <c r="P54" s="71"/>
    </row>
    <row r="55" customFormat="false" ht="15" hidden="false" customHeight="true" outlineLevel="0" collapsed="false">
      <c r="A55" s="71"/>
      <c r="B55" s="64"/>
      <c r="C55" s="71"/>
      <c r="D55" s="71"/>
      <c r="E55" s="71"/>
      <c r="F55" s="71"/>
      <c r="G55" s="67"/>
      <c r="H55" s="68" t="str">
        <f aca="false">IF($G55="","",$G55*Config!$C$15)</f>
        <v/>
      </c>
      <c r="I55" s="68" t="str">
        <f aca="false">IF($G55="","",IF($E55="Cliente PM - Servicios Profesionales",$G55*Config!$C$16,0))</f>
        <v/>
      </c>
      <c r="J55" s="68" t="str">
        <f aca="false">IF($G55="","",IF($E55="Cliente PM - Servicios Profesionales",$G55*Config!$C$17,IF($E55="Cliente PM - RESICO PF",$G55*Config!$C$18,0)))</f>
        <v/>
      </c>
      <c r="K55" s="69" t="str">
        <f aca="false">IF($G55="","",$G55+$H55)</f>
        <v/>
      </c>
      <c r="L55" s="70" t="str">
        <f aca="false">IF($G55="","",$K55-$I55-$J55)</f>
        <v/>
      </c>
      <c r="M55" s="71"/>
      <c r="N55" s="64" t="str">
        <f aca="false">IF(OR($B55="",$M55=""),"",$B55+$M55)</f>
        <v/>
      </c>
      <c r="O55" s="71"/>
      <c r="P55" s="71"/>
    </row>
    <row r="56" customFormat="false" ht="15" hidden="false" customHeight="true" outlineLevel="0" collapsed="false">
      <c r="A56" s="71"/>
      <c r="B56" s="64"/>
      <c r="C56" s="71"/>
      <c r="D56" s="71"/>
      <c r="E56" s="71"/>
      <c r="F56" s="71"/>
      <c r="G56" s="67"/>
      <c r="H56" s="68" t="str">
        <f aca="false">IF($G56="","",$G56*Config!$C$15)</f>
        <v/>
      </c>
      <c r="I56" s="68" t="str">
        <f aca="false">IF($G56="","",IF($E56="Cliente PM - Servicios Profesionales",$G56*Config!$C$16,0))</f>
        <v/>
      </c>
      <c r="J56" s="68" t="str">
        <f aca="false">IF($G56="","",IF($E56="Cliente PM - Servicios Profesionales",$G56*Config!$C$17,IF($E56="Cliente PM - RESICO PF",$G56*Config!$C$18,0)))</f>
        <v/>
      </c>
      <c r="K56" s="69" t="str">
        <f aca="false">IF($G56="","",$G56+$H56)</f>
        <v/>
      </c>
      <c r="L56" s="70" t="str">
        <f aca="false">IF($G56="","",$K56-$I56-$J56)</f>
        <v/>
      </c>
      <c r="M56" s="71"/>
      <c r="N56" s="64" t="str">
        <f aca="false">IF(OR($B56="",$M56=""),"",$B56+$M56)</f>
        <v/>
      </c>
      <c r="O56" s="71"/>
      <c r="P56" s="71"/>
    </row>
    <row r="57" customFormat="false" ht="15" hidden="false" customHeight="true" outlineLevel="0" collapsed="false">
      <c r="A57" s="71"/>
      <c r="B57" s="64"/>
      <c r="C57" s="71"/>
      <c r="D57" s="71"/>
      <c r="E57" s="71"/>
      <c r="F57" s="71"/>
      <c r="G57" s="67"/>
      <c r="H57" s="68" t="str">
        <f aca="false">IF($G57="","",$G57*Config!$C$15)</f>
        <v/>
      </c>
      <c r="I57" s="68" t="str">
        <f aca="false">IF($G57="","",IF($E57="Cliente PM - Servicios Profesionales",$G57*Config!$C$16,0))</f>
        <v/>
      </c>
      <c r="J57" s="68" t="str">
        <f aca="false">IF($G57="","",IF($E57="Cliente PM - Servicios Profesionales",$G57*Config!$C$17,IF($E57="Cliente PM - RESICO PF",$G57*Config!$C$18,0)))</f>
        <v/>
      </c>
      <c r="K57" s="69" t="str">
        <f aca="false">IF($G57="","",$G57+$H57)</f>
        <v/>
      </c>
      <c r="L57" s="70" t="str">
        <f aca="false">IF($G57="","",$K57-$I57-$J57)</f>
        <v/>
      </c>
      <c r="M57" s="71"/>
      <c r="N57" s="64" t="str">
        <f aca="false">IF(OR($B57="",$M57=""),"",$B57+$M57)</f>
        <v/>
      </c>
      <c r="O57" s="71"/>
      <c r="P57" s="71"/>
    </row>
    <row r="58" customFormat="false" ht="15" hidden="false" customHeight="true" outlineLevel="0" collapsed="false">
      <c r="A58" s="71"/>
      <c r="B58" s="64"/>
      <c r="C58" s="71"/>
      <c r="D58" s="71"/>
      <c r="E58" s="71"/>
      <c r="F58" s="71"/>
      <c r="G58" s="67"/>
      <c r="H58" s="68" t="str">
        <f aca="false">IF($G58="","",$G58*Config!$C$15)</f>
        <v/>
      </c>
      <c r="I58" s="68" t="str">
        <f aca="false">IF($G58="","",IF($E58="Cliente PM - Servicios Profesionales",$G58*Config!$C$16,0))</f>
        <v/>
      </c>
      <c r="J58" s="68" t="str">
        <f aca="false">IF($G58="","",IF($E58="Cliente PM - Servicios Profesionales",$G58*Config!$C$17,IF($E58="Cliente PM - RESICO PF",$G58*Config!$C$18,0)))</f>
        <v/>
      </c>
      <c r="K58" s="69" t="str">
        <f aca="false">IF($G58="","",$G58+$H58)</f>
        <v/>
      </c>
      <c r="L58" s="70" t="str">
        <f aca="false">IF($G58="","",$K58-$I58-$J58)</f>
        <v/>
      </c>
      <c r="M58" s="71"/>
      <c r="N58" s="64" t="str">
        <f aca="false">IF(OR($B58="",$M58=""),"",$B58+$M58)</f>
        <v/>
      </c>
      <c r="O58" s="71"/>
      <c r="P58" s="71"/>
    </row>
    <row r="59" customFormat="false" ht="15" hidden="false" customHeight="true" outlineLevel="0" collapsed="false">
      <c r="A59" s="71"/>
      <c r="B59" s="64"/>
      <c r="C59" s="71"/>
      <c r="D59" s="71"/>
      <c r="E59" s="71"/>
      <c r="F59" s="71"/>
      <c r="G59" s="67"/>
      <c r="H59" s="68" t="str">
        <f aca="false">IF($G59="","",$G59*Config!$C$15)</f>
        <v/>
      </c>
      <c r="I59" s="68" t="str">
        <f aca="false">IF($G59="","",IF($E59="Cliente PM - Servicios Profesionales",$G59*Config!$C$16,0))</f>
        <v/>
      </c>
      <c r="J59" s="68" t="str">
        <f aca="false">IF($G59="","",IF($E59="Cliente PM - Servicios Profesionales",$G59*Config!$C$17,IF($E59="Cliente PM - RESICO PF",$G59*Config!$C$18,0)))</f>
        <v/>
      </c>
      <c r="K59" s="69" t="str">
        <f aca="false">IF($G59="","",$G59+$H59)</f>
        <v/>
      </c>
      <c r="L59" s="70" t="str">
        <f aca="false">IF($G59="","",$K59-$I59-$J59)</f>
        <v/>
      </c>
      <c r="M59" s="71"/>
      <c r="N59" s="64" t="str">
        <f aca="false">IF(OR($B59="",$M59=""),"",$B59+$M59)</f>
        <v/>
      </c>
      <c r="O59" s="71"/>
      <c r="P59" s="71"/>
    </row>
  </sheetData>
  <dataValidations count="2">
    <dataValidation allowBlank="true" errorStyle="stop" operator="between" showDropDown="false" showErrorMessage="false" showInputMessage="false" sqref="E2:E59" type="list">
      <formula1>Listas!$B$2:$B$6</formula1>
      <formula2>0</formula2>
    </dataValidation>
    <dataValidation allowBlank="true" errorStyle="stop" operator="between" showDropDown="false" showErrorMessage="false" showInputMessage="false" sqref="O2:O59" type="list">
      <formula1>Listas!$C$2:$C$7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4" min="4" style="1" width="16"/>
    <col collapsed="false" customWidth="true" hidden="false" outlineLevel="0" max="5" min="5" style="1" width="26"/>
    <col collapsed="false" customWidth="true" hidden="false" outlineLevel="0" max="6" min="6" style="1" width="32"/>
    <col collapsed="false" customWidth="true" hidden="false" outlineLevel="0" max="7" min="7" style="1" width="22"/>
    <col collapsed="false" customWidth="true" hidden="false" outlineLevel="0" max="8" min="8" style="1" width="30"/>
    <col collapsed="false" customWidth="true" hidden="false" outlineLevel="0" max="9" min="9" style="1" width="18"/>
    <col collapsed="false" customWidth="true" hidden="false" outlineLevel="0" max="10" min="10" style="1" width="34"/>
    <col collapsed="false" customWidth="true" hidden="false" outlineLevel="0" max="11" min="11" style="1" width="24"/>
  </cols>
  <sheetData>
    <row r="1" customFormat="false" ht="30" hidden="false" customHeight="true" outlineLevel="0" collapsed="false">
      <c r="A1" s="72" t="s">
        <v>90</v>
      </c>
      <c r="B1" s="72" t="s">
        <v>91</v>
      </c>
      <c r="C1" s="72" t="s">
        <v>27</v>
      </c>
      <c r="D1" s="72" t="s">
        <v>26</v>
      </c>
      <c r="E1" s="72" t="s">
        <v>92</v>
      </c>
      <c r="F1" s="72" t="s">
        <v>71</v>
      </c>
      <c r="G1" s="72" t="s">
        <v>28</v>
      </c>
      <c r="H1" s="72" t="s">
        <v>30</v>
      </c>
      <c r="I1" s="72" t="s">
        <v>29</v>
      </c>
      <c r="J1" s="72" t="s">
        <v>93</v>
      </c>
      <c r="K1" s="72" t="s">
        <v>69</v>
      </c>
    </row>
    <row r="2" customFormat="false" ht="15" hidden="false" customHeight="true" outlineLevel="0" collapsed="false">
      <c r="A2" s="73" t="s">
        <v>94</v>
      </c>
      <c r="B2" s="73" t="s">
        <v>25</v>
      </c>
      <c r="C2" s="73" t="s">
        <v>78</v>
      </c>
      <c r="D2" s="73"/>
      <c r="E2" s="73" t="s">
        <v>95</v>
      </c>
      <c r="F2" s="73" t="s">
        <v>39</v>
      </c>
      <c r="G2" s="73" t="s">
        <v>96</v>
      </c>
      <c r="H2" s="73" t="s">
        <v>97</v>
      </c>
      <c r="I2" s="73"/>
      <c r="J2" s="73"/>
      <c r="K2" s="73" t="s">
        <v>98</v>
      </c>
    </row>
    <row r="3" customFormat="false" ht="21.75" hidden="false" customHeight="true" outlineLevel="0" collapsed="false">
      <c r="A3" s="74" t="s">
        <v>99</v>
      </c>
      <c r="B3" s="74" t="s">
        <v>100</v>
      </c>
      <c r="C3" s="74" t="s">
        <v>78</v>
      </c>
      <c r="D3" s="74"/>
      <c r="E3" s="74" t="s">
        <v>95</v>
      </c>
      <c r="F3" s="74" t="s">
        <v>39</v>
      </c>
      <c r="G3" s="74" t="s">
        <v>101</v>
      </c>
      <c r="H3" s="74"/>
      <c r="I3" s="74"/>
      <c r="J3" s="74"/>
      <c r="K3" s="74" t="s">
        <v>102</v>
      </c>
    </row>
    <row r="4" customFormat="false" ht="21.75" hidden="false" customHeight="true" outlineLevel="0" collapsed="false">
      <c r="A4" s="73" t="s">
        <v>103</v>
      </c>
      <c r="B4" s="73" t="s">
        <v>104</v>
      </c>
      <c r="C4" s="73" t="s">
        <v>78</v>
      </c>
      <c r="D4" s="73" t="s">
        <v>105</v>
      </c>
      <c r="E4" s="73" t="s">
        <v>95</v>
      </c>
      <c r="F4" s="73" t="s">
        <v>39</v>
      </c>
      <c r="G4" s="73" t="s">
        <v>106</v>
      </c>
      <c r="H4" s="73"/>
      <c r="I4" s="73"/>
      <c r="J4" s="73" t="s">
        <v>107</v>
      </c>
      <c r="K4" s="73" t="s">
        <v>108</v>
      </c>
    </row>
    <row r="5" customFormat="false" ht="15" hidden="false" customHeight="true" outlineLevel="0" collapsed="false">
      <c r="A5" s="74" t="s">
        <v>109</v>
      </c>
      <c r="B5" s="74" t="s">
        <v>110</v>
      </c>
      <c r="C5" s="74" t="s">
        <v>111</v>
      </c>
      <c r="D5" s="74"/>
      <c r="E5" s="74" t="s">
        <v>112</v>
      </c>
      <c r="F5" s="74" t="s">
        <v>113</v>
      </c>
      <c r="G5" s="74"/>
      <c r="H5" s="74"/>
      <c r="I5" s="74"/>
      <c r="J5" s="74"/>
      <c r="K5" s="74" t="s">
        <v>114</v>
      </c>
    </row>
    <row r="6" customFormat="false" ht="15" hidden="false" customHeight="true" outlineLevel="0" collapsed="false">
      <c r="A6" s="73" t="s">
        <v>115</v>
      </c>
      <c r="B6" s="73" t="s">
        <v>87</v>
      </c>
      <c r="C6" s="73" t="s">
        <v>78</v>
      </c>
      <c r="D6" s="73"/>
      <c r="E6" s="73" t="s">
        <v>95</v>
      </c>
      <c r="F6" s="73" t="s">
        <v>39</v>
      </c>
      <c r="G6" s="73" t="s">
        <v>116</v>
      </c>
      <c r="H6" s="73"/>
      <c r="I6" s="73" t="s">
        <v>117</v>
      </c>
      <c r="J6" s="73" t="s">
        <v>118</v>
      </c>
      <c r="K6" s="73" t="s">
        <v>119</v>
      </c>
    </row>
    <row r="7" customFormat="false" ht="15" hidden="false" customHeight="true" outlineLevel="0" collapsed="false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</row>
    <row r="8" customFormat="false" ht="15" hidden="false" customHeight="true" outlineLevel="0" collapsed="false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</row>
    <row r="9" customFormat="false" ht="15" hidden="false" customHeight="true" outlineLevel="0" collapsed="false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</row>
    <row r="10" customFormat="false" ht="15" hidden="false" customHeight="true" outlineLevel="0" collapsed="false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</row>
    <row r="11" customFormat="false" ht="15" hidden="false" customHeight="true" outlineLevel="0" collapsed="false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</row>
    <row r="12" customFormat="false" ht="15" hidden="false" customHeight="true" outlineLevel="0" collapsed="false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</row>
    <row r="13" customFormat="false" ht="15" hidden="false" customHeight="true" outlineLevel="0" collapsed="false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</row>
    <row r="14" customFormat="false" ht="15" hidden="false" customHeight="true" outlineLevel="0" collapsed="false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</row>
    <row r="15" customFormat="false" ht="15" hidden="false" customHeight="true" outlineLevel="0" collapsed="false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 customFormat="false" ht="15" hidden="false" customHeight="true" outlineLevel="0" collapsed="false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</row>
    <row r="17" customFormat="false" ht="15" hidden="false" customHeight="true" outlineLevel="0" collapsed="false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</row>
    <row r="18" customFormat="false" ht="15" hidden="false" customHeight="true" outlineLevel="0" collapsed="false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</row>
    <row r="19" customFormat="false" ht="15" hidden="false" customHeight="true" outlineLevel="0" collapsed="false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</row>
    <row r="20" customFormat="false" ht="15" hidden="false" customHeight="true" outlineLevel="0" collapsed="false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</row>
    <row r="21" customFormat="false" ht="15" hidden="false" customHeight="true" outlineLevel="0" collapsed="false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</row>
    <row r="22" customFormat="false" ht="15" hidden="false" customHeight="true" outlineLevel="0" collapsed="false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</row>
    <row r="23" customFormat="false" ht="15" hidden="false" customHeight="true" outlineLevel="0" collapsed="false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</row>
    <row r="24" customFormat="false" ht="15" hidden="false" customHeight="true" outlineLevel="0" collapsed="false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</row>
    <row r="25" customFormat="false" ht="15" hidden="false" customHeight="true" outlineLevel="0" collapsed="false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</row>
    <row r="26" customFormat="false" ht="15" hidden="false" customHeight="true" outlineLevel="0" collapsed="false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</row>
    <row r="27" customFormat="false" ht="15" hidden="false" customHeight="true" outlineLevel="0" collapsed="false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</row>
    <row r="28" customFormat="false" ht="15" hidden="false" customHeight="true" outlineLevel="0" collapsed="false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</row>
    <row r="29" customFormat="false" ht="15" hidden="false" customHeight="true" outlineLevel="0" collapsed="false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</row>
    <row r="30" customFormat="false" ht="15" hidden="false" customHeight="true" outlineLevel="0" collapsed="false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</row>
    <row r="31" customFormat="false" ht="15" hidden="false" customHeight="true" outlineLevel="0" collapsed="false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</row>
    <row r="32" customFormat="false" ht="15" hidden="false" customHeight="true" outlineLevel="0" collapsed="false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</row>
    <row r="33" customFormat="false" ht="15" hidden="false" customHeight="true" outlineLevel="0" collapsed="false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</row>
    <row r="34" customFormat="false" ht="15" hidden="false" customHeight="true" outlineLevel="0" collapsed="false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</row>
    <row r="35" customFormat="false" ht="15" hidden="false" customHeight="true" outlineLevel="0" collapsed="false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</row>
    <row r="36" customFormat="false" ht="15" hidden="false" customHeight="true" outlineLevel="0" collapsed="false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</row>
    <row r="37" customFormat="false" ht="15" hidden="false" customHeight="true" outlineLevel="0" collapsed="false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</row>
    <row r="38" customFormat="false" ht="15" hidden="false" customHeight="true" outlineLevel="0" collapsed="false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</row>
    <row r="39" customFormat="false" ht="15" hidden="false" customHeight="true" outlineLevel="0" collapsed="false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</row>
    <row r="40" customFormat="false" ht="15" hidden="false" customHeight="true" outlineLevel="0" collapsed="false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</row>
    <row r="41" customFormat="false" ht="15" hidden="false" customHeight="true" outlineLevel="0" collapsed="false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</row>
    <row r="42" customFormat="false" ht="15" hidden="false" customHeight="true" outlineLevel="0" collapsed="false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</row>
    <row r="43" customFormat="false" ht="15" hidden="false" customHeight="true" outlineLevel="0" collapsed="false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</row>
    <row r="44" customFormat="false" ht="15" hidden="false" customHeight="true" outlineLevel="0" collapsed="false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</row>
    <row r="45" customFormat="false" ht="15" hidden="false" customHeight="true" outlineLevel="0" collapsed="false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</row>
    <row r="46" customFormat="false" ht="15" hidden="false" customHeight="true" outlineLevel="0" collapsed="false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customFormat="false" ht="15" hidden="false" customHeight="true" outlineLevel="0" collapsed="false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</row>
    <row r="48" customFormat="false" ht="15" hidden="false" customHeight="true" outlineLevel="0" collapsed="false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customFormat="false" ht="15" hidden="false" customHeight="true" outlineLevel="0" collapsed="false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</row>
    <row r="50" customFormat="false" ht="15" hidden="false" customHeight="true" outlineLevel="0" collapsed="false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customFormat="false" ht="15" hidden="false" customHeight="true" outlineLevel="0" collapsed="false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</row>
    <row r="52" customFormat="false" ht="15" hidden="false" customHeight="true" outlineLevel="0" collapsed="false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</row>
    <row r="53" customFormat="false" ht="15" hidden="false" customHeight="true" outlineLevel="0" collapsed="false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</row>
    <row r="54" customFormat="false" ht="15" hidden="false" customHeight="true" outlineLevel="0" collapsed="false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</row>
    <row r="55" customFormat="false" ht="15" hidden="false" customHeight="true" outlineLevel="0" collapsed="false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</row>
    <row r="56" customFormat="false" ht="15" hidden="false" customHeight="true" outlineLevel="0" collapsed="false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</row>
    <row r="57" customFormat="false" ht="15" hidden="false" customHeight="true" outlineLevel="0" collapsed="false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</row>
    <row r="58" customFormat="false" ht="15" hidden="false" customHeight="true" outlineLevel="0" collapsed="false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</row>
    <row r="59" customFormat="false" ht="15" hidden="false" customHeight="true" outlineLevel="0" collapsed="false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</row>
  </sheetData>
  <dataValidations count="2">
    <dataValidation allowBlank="true" errorStyle="stop" operator="between" showDropDown="false" showErrorMessage="false" showInputMessage="false" sqref="C2:C59" type="list">
      <formula1>Listas!$A$2:$A$3</formula1>
      <formula2>0</formula2>
    </dataValidation>
    <dataValidation allowBlank="true" errorStyle="stop" operator="between" showDropDown="false" showErrorMessage="false" showInputMessage="false" sqref="F2:F59" type="list">
      <formula1>Listas!$B$2:$B$6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30"/>
  </cols>
  <sheetData>
    <row r="1" customFormat="false" ht="24" hidden="false" customHeight="true" outlineLevel="0" collapsed="false">
      <c r="A1" s="75" t="s">
        <v>90</v>
      </c>
      <c r="B1" s="75" t="s">
        <v>120</v>
      </c>
      <c r="C1" s="75" t="s">
        <v>121</v>
      </c>
      <c r="D1" s="75" t="s">
        <v>122</v>
      </c>
      <c r="E1" s="75" t="s">
        <v>69</v>
      </c>
    </row>
    <row r="2" customFormat="false" ht="15" hidden="false" customHeight="true" outlineLevel="0" collapsed="false">
      <c r="A2" s="30" t="s">
        <v>123</v>
      </c>
      <c r="B2" s="30" t="s">
        <v>124</v>
      </c>
      <c r="C2" s="30" t="s">
        <v>125</v>
      </c>
      <c r="D2" s="76" t="n">
        <v>846</v>
      </c>
      <c r="E2" s="30" t="s">
        <v>126</v>
      </c>
    </row>
    <row r="3" customFormat="false" ht="15" hidden="false" customHeight="true" outlineLevel="0" collapsed="false">
      <c r="A3" s="77" t="s">
        <v>127</v>
      </c>
      <c r="B3" s="77" t="s">
        <v>128</v>
      </c>
      <c r="C3" s="77" t="s">
        <v>125</v>
      </c>
      <c r="D3" s="78" t="n">
        <v>846</v>
      </c>
      <c r="E3" s="77"/>
    </row>
    <row r="4" customFormat="false" ht="15" hidden="false" customHeight="true" outlineLevel="0" collapsed="false">
      <c r="A4" s="30" t="s">
        <v>129</v>
      </c>
      <c r="B4" s="30" t="s">
        <v>130</v>
      </c>
      <c r="C4" s="30" t="s">
        <v>125</v>
      </c>
      <c r="D4" s="76" t="n">
        <v>846</v>
      </c>
      <c r="E4" s="30"/>
    </row>
    <row r="5" customFormat="false" ht="15" hidden="false" customHeight="true" outlineLevel="0" collapsed="false">
      <c r="A5" s="77" t="s">
        <v>131</v>
      </c>
      <c r="B5" s="77" t="s">
        <v>132</v>
      </c>
      <c r="C5" s="77" t="s">
        <v>125</v>
      </c>
      <c r="D5" s="78" t="n">
        <v>846</v>
      </c>
      <c r="E5" s="77"/>
    </row>
    <row r="6" customFormat="false" ht="15" hidden="false" customHeight="true" outlineLevel="0" collapsed="false">
      <c r="A6" s="30" t="s">
        <v>133</v>
      </c>
      <c r="B6" s="30" t="s">
        <v>134</v>
      </c>
      <c r="C6" s="30" t="s">
        <v>125</v>
      </c>
      <c r="D6" s="76" t="n">
        <v>846</v>
      </c>
      <c r="E6" s="30"/>
    </row>
    <row r="7" customFormat="false" ht="15" hidden="false" customHeight="true" outlineLevel="0" collapsed="false">
      <c r="A7" s="77" t="s">
        <v>135</v>
      </c>
      <c r="B7" s="77" t="s">
        <v>136</v>
      </c>
      <c r="C7" s="77" t="s">
        <v>37</v>
      </c>
      <c r="D7" s="78" t="n">
        <v>4742</v>
      </c>
      <c r="E7" s="77" t="s">
        <v>137</v>
      </c>
    </row>
    <row r="8" customFormat="false" ht="15" hidden="false" customHeight="true" outlineLevel="0" collapsed="false">
      <c r="A8" s="30" t="s">
        <v>138</v>
      </c>
      <c r="B8" s="30" t="s">
        <v>139</v>
      </c>
      <c r="C8" s="30" t="s">
        <v>37</v>
      </c>
      <c r="D8" s="76" t="n">
        <v>8742</v>
      </c>
      <c r="E8" s="30" t="s">
        <v>140</v>
      </c>
    </row>
    <row r="9" customFormat="false" ht="15" hidden="false" customHeight="true" outlineLevel="0" collapsed="false">
      <c r="A9" s="77" t="s">
        <v>141</v>
      </c>
      <c r="B9" s="77" t="s">
        <v>142</v>
      </c>
      <c r="C9" s="77" t="s">
        <v>143</v>
      </c>
      <c r="D9" s="78" t="n">
        <v>0</v>
      </c>
      <c r="E9" s="77" t="s">
        <v>144</v>
      </c>
    </row>
    <row r="10" customFormat="false" ht="15" hidden="false" customHeight="true" outlineLevel="0" collapsed="false">
      <c r="A10" s="30" t="s">
        <v>145</v>
      </c>
      <c r="B10" s="30" t="s">
        <v>146</v>
      </c>
      <c r="C10" s="30" t="s">
        <v>125</v>
      </c>
      <c r="D10" s="79" t="n">
        <v>1045</v>
      </c>
      <c r="E10" s="30" t="s">
        <v>147</v>
      </c>
    </row>
    <row r="11" customFormat="false" ht="15" hidden="false" customHeight="true" outlineLevel="0" collapsed="false">
      <c r="A11" s="77"/>
      <c r="B11" s="77"/>
      <c r="C11" s="77"/>
      <c r="D11" s="78"/>
      <c r="E11" s="77"/>
    </row>
    <row r="12" customFormat="false" ht="15" hidden="false" customHeight="true" outlineLevel="0" collapsed="false">
      <c r="A12" s="30"/>
      <c r="B12" s="30"/>
      <c r="C12" s="30"/>
      <c r="D12" s="76"/>
      <c r="E12" s="30"/>
    </row>
    <row r="13" customFormat="false" ht="15" hidden="false" customHeight="true" outlineLevel="0" collapsed="false">
      <c r="A13" s="77"/>
      <c r="B13" s="77"/>
      <c r="C13" s="77"/>
      <c r="D13" s="78"/>
      <c r="E13" s="77"/>
    </row>
    <row r="14" customFormat="false" ht="15" hidden="false" customHeight="true" outlineLevel="0" collapsed="false">
      <c r="A14" s="30"/>
      <c r="B14" s="30"/>
      <c r="C14" s="30"/>
      <c r="D14" s="76"/>
      <c r="E14" s="30"/>
    </row>
    <row r="15" customFormat="false" ht="15" hidden="false" customHeight="true" outlineLevel="0" collapsed="false">
      <c r="A15" s="77"/>
      <c r="B15" s="77"/>
      <c r="C15" s="77"/>
      <c r="D15" s="78"/>
      <c r="E15" s="77"/>
    </row>
    <row r="16" customFormat="false" ht="15" hidden="false" customHeight="true" outlineLevel="0" collapsed="false">
      <c r="A16" s="30"/>
      <c r="B16" s="30"/>
      <c r="C16" s="30"/>
      <c r="D16" s="76"/>
      <c r="E16" s="30"/>
    </row>
    <row r="17" customFormat="false" ht="15" hidden="false" customHeight="true" outlineLevel="0" collapsed="false">
      <c r="A17" s="77"/>
      <c r="B17" s="77"/>
      <c r="C17" s="77"/>
      <c r="D17" s="78"/>
      <c r="E17" s="77"/>
    </row>
    <row r="18" customFormat="false" ht="15" hidden="false" customHeight="true" outlineLevel="0" collapsed="false">
      <c r="A18" s="30"/>
      <c r="B18" s="30"/>
      <c r="C18" s="30"/>
      <c r="D18" s="76"/>
      <c r="E18" s="30"/>
    </row>
    <row r="19" customFormat="false" ht="15" hidden="false" customHeight="true" outlineLevel="0" collapsed="false">
      <c r="A19" s="77"/>
      <c r="B19" s="77"/>
      <c r="C19" s="77"/>
      <c r="D19" s="78"/>
      <c r="E19" s="77"/>
    </row>
    <row r="20" customFormat="false" ht="15" hidden="false" customHeight="true" outlineLevel="0" collapsed="false">
      <c r="A20" s="30"/>
      <c r="B20" s="30"/>
      <c r="C20" s="30"/>
      <c r="D20" s="76"/>
      <c r="E20" s="30"/>
    </row>
    <row r="21" customFormat="false" ht="15" hidden="false" customHeight="true" outlineLevel="0" collapsed="false">
      <c r="A21" s="77"/>
      <c r="B21" s="77"/>
      <c r="C21" s="77"/>
      <c r="D21" s="78"/>
      <c r="E21" s="77"/>
    </row>
    <row r="22" customFormat="false" ht="15" hidden="false" customHeight="true" outlineLevel="0" collapsed="false">
      <c r="A22" s="30"/>
      <c r="B22" s="30"/>
      <c r="C22" s="30"/>
      <c r="D22" s="76"/>
      <c r="E22" s="30"/>
    </row>
    <row r="23" customFormat="false" ht="15" hidden="false" customHeight="true" outlineLevel="0" collapsed="false">
      <c r="A23" s="77"/>
      <c r="B23" s="77"/>
      <c r="C23" s="77"/>
      <c r="D23" s="78"/>
      <c r="E23" s="77"/>
    </row>
    <row r="24" customFormat="false" ht="15" hidden="false" customHeight="true" outlineLevel="0" collapsed="false">
      <c r="A24" s="30"/>
      <c r="B24" s="30"/>
      <c r="C24" s="30"/>
      <c r="D24" s="76"/>
      <c r="E24" s="30"/>
    </row>
    <row r="25" customFormat="false" ht="15" hidden="false" customHeight="true" outlineLevel="0" collapsed="false">
      <c r="A25" s="77"/>
      <c r="B25" s="77"/>
      <c r="C25" s="77"/>
      <c r="D25" s="78"/>
      <c r="E25" s="77"/>
    </row>
    <row r="26" customFormat="false" ht="15" hidden="false" customHeight="true" outlineLevel="0" collapsed="false">
      <c r="A26" s="30"/>
      <c r="B26" s="30"/>
      <c r="C26" s="30"/>
      <c r="D26" s="76"/>
      <c r="E26" s="30"/>
    </row>
    <row r="27" customFormat="false" ht="15" hidden="false" customHeight="true" outlineLevel="0" collapsed="false">
      <c r="A27" s="77"/>
      <c r="B27" s="77"/>
      <c r="C27" s="77"/>
      <c r="D27" s="78"/>
      <c r="E27" s="77"/>
    </row>
    <row r="28" customFormat="false" ht="15" hidden="false" customHeight="true" outlineLevel="0" collapsed="false">
      <c r="A28" s="30"/>
      <c r="B28" s="30"/>
      <c r="C28" s="30"/>
      <c r="D28" s="76"/>
      <c r="E28" s="30"/>
    </row>
    <row r="29" customFormat="false" ht="15" hidden="false" customHeight="true" outlineLevel="0" collapsed="false">
      <c r="A29" s="77"/>
      <c r="B29" s="77"/>
      <c r="C29" s="77"/>
      <c r="D29" s="78"/>
      <c r="E29" s="77"/>
    </row>
    <row r="30" customFormat="false" ht="15" hidden="false" customHeight="true" outlineLevel="0" collapsed="false">
      <c r="A30" s="30"/>
      <c r="B30" s="30"/>
      <c r="C30" s="30"/>
      <c r="D30" s="76"/>
      <c r="E30" s="30"/>
    </row>
    <row r="31" customFormat="false" ht="15" hidden="false" customHeight="true" outlineLevel="0" collapsed="false">
      <c r="A31" s="77"/>
      <c r="B31" s="77"/>
      <c r="C31" s="77"/>
      <c r="D31" s="78"/>
      <c r="E31" s="77"/>
    </row>
    <row r="32" customFormat="false" ht="15" hidden="false" customHeight="true" outlineLevel="0" collapsed="false">
      <c r="A32" s="30"/>
      <c r="B32" s="30"/>
      <c r="C32" s="30"/>
      <c r="D32" s="76"/>
      <c r="E32" s="30"/>
    </row>
    <row r="33" customFormat="false" ht="15" hidden="false" customHeight="true" outlineLevel="0" collapsed="false">
      <c r="A33" s="77"/>
      <c r="B33" s="77"/>
      <c r="C33" s="77"/>
      <c r="D33" s="78"/>
      <c r="E33" s="77"/>
    </row>
    <row r="34" customFormat="false" ht="15" hidden="false" customHeight="true" outlineLevel="0" collapsed="false">
      <c r="A34" s="30"/>
      <c r="B34" s="30"/>
      <c r="C34" s="30"/>
      <c r="D34" s="76"/>
      <c r="E34" s="30"/>
    </row>
    <row r="35" customFormat="false" ht="15" hidden="false" customHeight="true" outlineLevel="0" collapsed="false">
      <c r="A35" s="77"/>
      <c r="B35" s="77"/>
      <c r="C35" s="77"/>
      <c r="D35" s="78"/>
      <c r="E35" s="77"/>
    </row>
    <row r="36" customFormat="false" ht="15" hidden="false" customHeight="true" outlineLevel="0" collapsed="false">
      <c r="A36" s="30"/>
      <c r="B36" s="30"/>
      <c r="C36" s="30"/>
      <c r="D36" s="76"/>
      <c r="E36" s="30"/>
    </row>
    <row r="37" customFormat="false" ht="15" hidden="false" customHeight="true" outlineLevel="0" collapsed="false">
      <c r="A37" s="77"/>
      <c r="B37" s="77"/>
      <c r="C37" s="77"/>
      <c r="D37" s="78"/>
      <c r="E37" s="77"/>
    </row>
    <row r="38" customFormat="false" ht="15" hidden="false" customHeight="true" outlineLevel="0" collapsed="false">
      <c r="A38" s="30"/>
      <c r="B38" s="30"/>
      <c r="C38" s="30"/>
      <c r="D38" s="76"/>
      <c r="E38" s="30"/>
    </row>
    <row r="39" customFormat="false" ht="15" hidden="false" customHeight="true" outlineLevel="0" collapsed="false">
      <c r="A39" s="77"/>
      <c r="B39" s="77"/>
      <c r="C39" s="77"/>
      <c r="D39" s="78"/>
      <c r="E39" s="77"/>
    </row>
  </sheetData>
  <dataValidations count="1">
    <dataValidation allowBlank="true" errorStyle="stop" operator="between" showDropDown="false" showErrorMessage="false" showInputMessage="false" sqref="C2:C39" type="list">
      <formula1>Listas!$D$2:$D$8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3"/>
  </cols>
  <sheetData>
    <row r="2" customFormat="false" ht="25.5" hidden="false" customHeight="true" outlineLevel="0" collapsed="false">
      <c r="B2" s="80" t="s">
        <v>148</v>
      </c>
      <c r="C2" s="80"/>
      <c r="D2" s="80"/>
    </row>
    <row r="4" customFormat="false" ht="15" hidden="false" customHeight="true" outlineLevel="0" collapsed="false">
      <c r="B4" s="81" t="s">
        <v>149</v>
      </c>
      <c r="C4" s="81"/>
      <c r="D4" s="81"/>
    </row>
    <row r="5" customFormat="false" ht="19.5" hidden="false" customHeight="true" outlineLevel="0" collapsed="false">
      <c r="B5" s="82" t="s">
        <v>150</v>
      </c>
      <c r="C5" s="83" t="s">
        <v>151</v>
      </c>
      <c r="D5" s="83"/>
    </row>
    <row r="6" customFormat="false" ht="19.5" hidden="false" customHeight="true" outlineLevel="0" collapsed="false">
      <c r="B6" s="82" t="s">
        <v>26</v>
      </c>
      <c r="C6" s="83" t="s">
        <v>152</v>
      </c>
      <c r="D6" s="83"/>
    </row>
    <row r="7" customFormat="false" ht="19.5" hidden="false" customHeight="true" outlineLevel="0" collapsed="false">
      <c r="B7" s="82" t="s">
        <v>92</v>
      </c>
      <c r="C7" s="83" t="s">
        <v>153</v>
      </c>
      <c r="D7" s="83"/>
    </row>
    <row r="8" customFormat="false" ht="19.5" hidden="false" customHeight="true" outlineLevel="0" collapsed="false">
      <c r="B8" s="82" t="s">
        <v>93</v>
      </c>
      <c r="C8" s="83" t="s">
        <v>154</v>
      </c>
      <c r="D8" s="83"/>
    </row>
    <row r="9" customFormat="false" ht="19.5" hidden="false" customHeight="true" outlineLevel="0" collapsed="false">
      <c r="B9" s="82" t="s">
        <v>29</v>
      </c>
      <c r="C9" s="83" t="s">
        <v>155</v>
      </c>
      <c r="D9" s="83"/>
    </row>
    <row r="10" customFormat="false" ht="19.5" hidden="false" customHeight="true" outlineLevel="0" collapsed="false">
      <c r="B10" s="82" t="s">
        <v>30</v>
      </c>
      <c r="C10" s="83" t="s">
        <v>156</v>
      </c>
      <c r="D10" s="83"/>
    </row>
    <row r="11" customFormat="false" ht="19.5" hidden="false" customHeight="true" outlineLevel="0" collapsed="false">
      <c r="B11" s="82" t="s">
        <v>157</v>
      </c>
      <c r="C11" s="83" t="s">
        <v>158</v>
      </c>
      <c r="D11" s="83"/>
    </row>
    <row r="12" customFormat="false" ht="19.5" hidden="false" customHeight="true" outlineLevel="0" collapsed="false">
      <c r="B12" s="82" t="s">
        <v>159</v>
      </c>
      <c r="C12" s="83" t="s">
        <v>160</v>
      </c>
      <c r="D12" s="83"/>
    </row>
    <row r="14" customFormat="false" ht="15" hidden="false" customHeight="true" outlineLevel="0" collapsed="false">
      <c r="B14" s="81" t="s">
        <v>161</v>
      </c>
      <c r="C14" s="81"/>
      <c r="D14" s="81"/>
    </row>
    <row r="15" customFormat="false" ht="18" hidden="false" customHeight="true" outlineLevel="0" collapsed="false">
      <c r="B15" s="82" t="s">
        <v>41</v>
      </c>
      <c r="C15" s="84" t="n">
        <v>0.16</v>
      </c>
      <c r="D15" s="85" t="s">
        <v>162</v>
      </c>
    </row>
    <row r="16" customFormat="false" ht="18" hidden="false" customHeight="true" outlineLevel="0" collapsed="false">
      <c r="B16" s="82" t="s">
        <v>163</v>
      </c>
      <c r="C16" s="86" t="n">
        <v>0.106666666666667</v>
      </c>
      <c r="D16" s="85" t="s">
        <v>164</v>
      </c>
    </row>
    <row r="17" customFormat="false" ht="18" hidden="false" customHeight="true" outlineLevel="0" collapsed="false">
      <c r="B17" s="82" t="s">
        <v>165</v>
      </c>
      <c r="C17" s="86" t="n">
        <v>0.1</v>
      </c>
      <c r="D17" s="85" t="s">
        <v>166</v>
      </c>
    </row>
    <row r="18" customFormat="false" ht="18" hidden="false" customHeight="true" outlineLevel="0" collapsed="false">
      <c r="B18" s="82" t="s">
        <v>167</v>
      </c>
      <c r="C18" s="86" t="n">
        <v>0.0125</v>
      </c>
      <c r="D18" s="85" t="s">
        <v>168</v>
      </c>
    </row>
    <row r="20" customFormat="false" ht="15" hidden="false" customHeight="true" outlineLevel="0" collapsed="false">
      <c r="B20" s="81" t="s">
        <v>169</v>
      </c>
      <c r="C20" s="81"/>
      <c r="D20" s="81"/>
    </row>
    <row r="21" customFormat="false" ht="15" hidden="false" customHeight="true" outlineLevel="0" collapsed="false">
      <c r="B21" s="82" t="s">
        <v>170</v>
      </c>
      <c r="C21" s="28" t="s">
        <v>171</v>
      </c>
      <c r="D21" s="28"/>
    </row>
    <row r="22" customFormat="false" ht="15" hidden="false" customHeight="true" outlineLevel="0" collapsed="false">
      <c r="B22" s="82" t="s">
        <v>172</v>
      </c>
      <c r="C22" s="28" t="s">
        <v>173</v>
      </c>
      <c r="D22" s="28"/>
    </row>
    <row r="23" customFormat="false" ht="15" hidden="false" customHeight="true" outlineLevel="0" collapsed="false">
      <c r="B23" s="82" t="s">
        <v>174</v>
      </c>
      <c r="C23" s="28" t="s">
        <v>175</v>
      </c>
      <c r="D23" s="28"/>
    </row>
    <row r="24" customFormat="false" ht="15" hidden="false" customHeight="true" outlineLevel="0" collapsed="false">
      <c r="B24" s="82" t="s">
        <v>176</v>
      </c>
      <c r="C24" s="28" t="s">
        <v>177</v>
      </c>
      <c r="D24" s="28"/>
    </row>
    <row r="26" customFormat="false" ht="15" hidden="false" customHeight="true" outlineLevel="0" collapsed="false">
      <c r="B26" s="81" t="s">
        <v>178</v>
      </c>
      <c r="C26" s="81"/>
      <c r="D26" s="81"/>
    </row>
    <row r="27" customFormat="false" ht="15" hidden="false" customHeight="true" outlineLevel="0" collapsed="false">
      <c r="B27" s="82" t="s">
        <v>179</v>
      </c>
      <c r="C27" s="87" t="s">
        <v>180</v>
      </c>
    </row>
    <row r="28" customFormat="false" ht="15" hidden="false" customHeight="true" outlineLevel="0" collapsed="false">
      <c r="B28" s="82" t="s">
        <v>181</v>
      </c>
      <c r="C28" s="87" t="n">
        <v>3</v>
      </c>
    </row>
    <row r="30" customFormat="false" ht="15" hidden="false" customHeight="true" outlineLevel="0" collapsed="false">
      <c r="B30" s="88" t="s">
        <v>182</v>
      </c>
      <c r="C30" s="88"/>
      <c r="D30" s="88"/>
    </row>
    <row r="31" customFormat="false" ht="15" hidden="false" customHeight="true" outlineLevel="0" collapsed="false">
      <c r="B31" s="88"/>
      <c r="C31" s="88"/>
      <c r="D31" s="88"/>
    </row>
    <row r="32" customFormat="false" ht="15" hidden="false" customHeight="true" outlineLevel="0" collapsed="false">
      <c r="B32" s="88"/>
      <c r="C32" s="88"/>
      <c r="D32" s="88"/>
    </row>
  </sheetData>
  <mergeCells count="18">
    <mergeCell ref="B2:D2"/>
    <mergeCell ref="B4:D4"/>
    <mergeCell ref="C5:D5"/>
    <mergeCell ref="C6:D6"/>
    <mergeCell ref="C7:D7"/>
    <mergeCell ref="C8:D8"/>
    <mergeCell ref="C9:D9"/>
    <mergeCell ref="C10:D10"/>
    <mergeCell ref="C11:D11"/>
    <mergeCell ref="C12:D12"/>
    <mergeCell ref="B14:D14"/>
    <mergeCell ref="B20:D20"/>
    <mergeCell ref="C21:D21"/>
    <mergeCell ref="C22:D22"/>
    <mergeCell ref="C23:D23"/>
    <mergeCell ref="C24:D24"/>
    <mergeCell ref="B26:D26"/>
    <mergeCell ref="B30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27</v>
      </c>
      <c r="B1" s="1" t="s">
        <v>60</v>
      </c>
      <c r="C1" s="1" t="s">
        <v>68</v>
      </c>
      <c r="D1" s="1" t="s">
        <v>121</v>
      </c>
    </row>
    <row r="2" customFormat="false" ht="15" hidden="false" customHeight="true" outlineLevel="0" collapsed="false">
      <c r="A2" s="1" t="s">
        <v>111</v>
      </c>
      <c r="B2" s="1" t="s">
        <v>113</v>
      </c>
      <c r="C2" s="1" t="s">
        <v>70</v>
      </c>
      <c r="D2" s="1" t="s">
        <v>37</v>
      </c>
    </row>
    <row r="3" customFormat="false" ht="15" hidden="false" customHeight="true" outlineLevel="0" collapsed="false">
      <c r="A3" s="1" t="s">
        <v>78</v>
      </c>
      <c r="B3" s="1" t="s">
        <v>183</v>
      </c>
      <c r="C3" s="1" t="s">
        <v>79</v>
      </c>
      <c r="D3" s="1" t="s">
        <v>125</v>
      </c>
    </row>
    <row r="4" customFormat="false" ht="15" hidden="false" customHeight="true" outlineLevel="0" collapsed="false">
      <c r="B4" s="1" t="s">
        <v>39</v>
      </c>
      <c r="C4" s="1" t="s">
        <v>84</v>
      </c>
      <c r="D4" s="1" t="s">
        <v>184</v>
      </c>
    </row>
    <row r="5" customFormat="false" ht="15" hidden="false" customHeight="true" outlineLevel="0" collapsed="false">
      <c r="B5" s="1" t="s">
        <v>185</v>
      </c>
      <c r="C5" s="1" t="s">
        <v>186</v>
      </c>
      <c r="D5" s="1" t="s">
        <v>187</v>
      </c>
    </row>
    <row r="6" customFormat="false" ht="15" hidden="false" customHeight="true" outlineLevel="0" collapsed="false">
      <c r="B6" s="1" t="s">
        <v>188</v>
      </c>
      <c r="C6" s="1" t="s">
        <v>189</v>
      </c>
      <c r="D6" s="1" t="s">
        <v>190</v>
      </c>
    </row>
    <row r="7" customFormat="false" ht="15" hidden="false" customHeight="true" outlineLevel="0" collapsed="false">
      <c r="C7" s="1" t="s">
        <v>191</v>
      </c>
      <c r="D7" s="1" t="s">
        <v>143</v>
      </c>
    </row>
    <row r="8" customFormat="false" ht="15" hidden="false" customHeight="true" outlineLevel="0" collapsed="false">
      <c r="D8" s="1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2026-06-04T18:23:01Z</dcterms:created>
  <dc:creator>openpyxl</dc:creator>
  <dc:description/>
  <dc:language>en-US</dc:language>
  <cp:lastModifiedBy/>
  <dcterms:modified xsi:type="dcterms:W3CDTF">2026-06-04T18:34:26Z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